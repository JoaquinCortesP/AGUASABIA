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s>
  <definedNames>
    <definedName name="valuevx">42.314159</definedName>
    <definedName name="vertex42_copyright">"© 2006-2018 Vertex42 LLC"</definedName>
    <definedName name="vertex42_id">"gantt-chart_L.xlsx"</definedName>
    <definedName name="vertex42_title">"Gantt Chart Template"</definedName>
    <definedName localSheetId="0" name="prevWBS">GanttChart!$A$1048579</definedName>
  </definedNames>
  <calcPr/>
  <extLst>
    <ext uri="GoogleSheetsCustomDataVersion2">
      <go:sheetsCustomData xmlns:go="http://customooxmlschemas.google.com/" r:id="rId5" roundtripDataChecksum="C1hO2Fa5yPw+WHFYWXZzi8gplq5fkHNOQBtuzqv2Uo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ID#AAABhrYFIM8
Predecessor Tasks    (2025-04-12 00:35:41)
You can use this column to enter the WBS of a predecessor for reference. The PRO version uses formulas to automatically calculate the Start Date based on the Predecessor.</t>
      </text>
    </comment>
    <comment authorId="0" ref="H7">
      <text>
        <t xml:space="preserve">======
ID#AAABhrYFIM4
Vertex42    (2025-04-12 00:35:41)
Percent Complete
Update the status of this task by entering the percent complete (between 0% and 100%).</t>
      </text>
    </comment>
    <comment authorId="0" ref="A7">
      <text>
        <t xml:space="preserve">======
ID#AAABhrYFIM0
Vertex42    (2025-04-12 00:35:41)
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F7">
      <text>
        <t xml:space="preserve">======
ID#AAABhrYFIMw
End Date    (2025-04-12 00:35:41)
The End Date is calculated based on the Start Date and the Calendar Days columns.</t>
      </text>
    </comment>
    <comment authorId="0" ref="B7">
      <text>
        <t xml:space="preserve">======
ID#AAABhrYFIMo
Vertex42    (2025-04-12 00:35:41)
Task Description
Enter the name of each task and sub-task. Use indents for sub-tasks.</t>
      </text>
    </comment>
    <comment authorId="0" ref="G7">
      <text>
        <t xml:space="preserve">======
ID#AAABhrYFIMg
Vertex42    (2025-04-12 00:35:41)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I7">
      <text>
        <t xml:space="preserve">======
ID#AAABhrYFIMY
Vertex42    (2025-04-12 00:35:41)
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C7">
      <text>
        <t xml:space="preserve">======
ID#AAABhrYFIMc
Vertex42    (2025-04-12 00:35:41)
Task Lead
Enter the name of the Task Lead in this column.</t>
      </text>
    </comment>
  </commentList>
  <extLst>
    <ext uri="GoogleSheetsCustomDataVersion2">
      <go:sheetsCustomData xmlns:go="http://customooxmlschemas.google.com/" r:id="rId1" roundtripDataSignature="AMtx7mgOsSqfNWLTFl7MhQT1rz5JWG6DXw=="/>
    </ext>
  </extLst>
</comments>
</file>

<file path=xl/sharedStrings.xml><?xml version="1.0" encoding="utf-8"?>
<sst xmlns="http://schemas.openxmlformats.org/spreadsheetml/2006/main" count="66" uniqueCount="49">
  <si>
    <t>[Agua Sabia] Calendario de proyecto</t>
  </si>
  <si>
    <r>
      <rPr>
        <rFont val="Arial"/>
        <i/>
        <color rgb="FF595959"/>
        <sz val="8.0"/>
        <u/>
      </rPr>
      <t>Gantt Chart Template</t>
    </r>
    <r>
      <rPr>
        <rFont val="Arial"/>
        <i/>
        <color rgb="FF595959"/>
        <sz val="8.0"/>
      </rPr>
      <t xml:space="preserve"> © 2006-2018 by Vertex42.com.</t>
    </r>
  </si>
  <si>
    <t>[CompuMundoHiperMegared]</t>
  </si>
  <si>
    <t xml:space="preserve">Project Start Date </t>
  </si>
  <si>
    <t>Mostrar semana</t>
  </si>
  <si>
    <t xml:space="preserve">Project Lead </t>
  </si>
  <si>
    <t>Joaquin Cortes, Sofia Araya</t>
  </si>
  <si>
    <t>WBS</t>
  </si>
  <si>
    <t>Tarea</t>
  </si>
  <si>
    <t>Asignaciones</t>
  </si>
  <si>
    <t>PREDECESSOR</t>
  </si>
  <si>
    <t>INICIO</t>
  </si>
  <si>
    <t>FINAL</t>
  </si>
  <si>
    <t>DIAS</t>
  </si>
  <si>
    <t>% DONE</t>
  </si>
  <si>
    <t>DIAS DE TRABAJO</t>
  </si>
  <si>
    <t>[Análisis Y Diseño]</t>
  </si>
  <si>
    <t>[Análisis y Diseño]</t>
  </si>
  <si>
    <t>[Joaquin y Sofia ]</t>
  </si>
  <si>
    <t>[Definicion de requerimientos]</t>
  </si>
  <si>
    <t>[Diseño de base de datos (MER)]</t>
  </si>
  <si>
    <t>[Joaquin ]</t>
  </si>
  <si>
    <t>[Casos de uso y Diagrama UML]</t>
  </si>
  <si>
    <t>[Sofia ]</t>
  </si>
  <si>
    <t>[Diseño de interfaz]</t>
  </si>
  <si>
    <t>[Diseño de interfaz de usuario(Mockups)]</t>
  </si>
  <si>
    <t>[Joaquin]</t>
  </si>
  <si>
    <t>[Desarrollo Backend]</t>
  </si>
  <si>
    <t>[Desarrollo backend FastApi]</t>
  </si>
  <si>
    <t>[Script BD y Scaffolding inicial]</t>
  </si>
  <si>
    <t>[Endpoints CRUD (Municios,agric.)]</t>
  </si>
  <si>
    <t>[Lógica FAO y OPEN-METEO]</t>
  </si>
  <si>
    <t>[Integración WhatsApp (Celery/redis)]</t>
  </si>
  <si>
    <t>[Desarrollo FrontEnd]</t>
  </si>
  <si>
    <t>[Desarrollo Frontend (React)]</t>
  </si>
  <si>
    <t>[Setup Vite + Tailwind CSS]</t>
  </si>
  <si>
    <t>[Vistas Base (Login, dashboard)]</t>
  </si>
  <si>
    <t>[Consumo de API (conexion a FastAPI)]</t>
  </si>
  <si>
    <t>[Pruebas e integración]</t>
  </si>
  <si>
    <t>[Pruebas unitarias frontEnd]</t>
  </si>
  <si>
    <t>[Pruebas de integracion (Backend y Frontend)]</t>
  </si>
  <si>
    <t>[Despliegue y entrega final]</t>
  </si>
  <si>
    <t>[Cierre y documentacion final]</t>
  </si>
  <si>
    <t>[Redaccion Informe Final, ultimos detalles]</t>
  </si>
  <si>
    <t>y</t>
  </si>
  <si>
    <t>[Despliegue con railway]</t>
  </si>
  <si>
    <t>[Mantenimiento]</t>
  </si>
  <si>
    <t>[Actualización y soporte post-lanzamiento]</t>
  </si>
  <si>
    <t>[FeedBack post lanzamiento]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</si>
</sst>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dddd\)"/>
    <numFmt numFmtId="165" formatCode="d\ mmm\ yyyy"/>
    <numFmt numFmtId="166" formatCode="d"/>
    <numFmt numFmtId="167" formatCode="ddd\ m/dd/yy"/>
  </numFmts>
  <fonts count="19">
    <font>
      <sz val="10.0"/>
      <color rgb="FF000000"/>
      <name val="Arial"/>
      <scheme val="minor"/>
    </font>
    <font>
      <sz val="16.0"/>
      <color rgb="FF366092"/>
      <name val="Arial"/>
    </font>
    <font>
      <sz val="14.0"/>
      <color rgb="FF003366"/>
      <name val="Arial"/>
    </font>
    <font>
      <sz val="10.0"/>
      <color theme="1"/>
      <name val="Arial"/>
    </font>
    <font>
      <i/>
      <sz val="8.0"/>
      <color rgb="FF595959"/>
      <name val="Arial"/>
    </font>
    <font>
      <sz val="11.0"/>
      <color theme="1"/>
      <name val="Arial"/>
    </font>
    <font>
      <sz val="9.0"/>
      <color theme="1"/>
      <name val="Arial"/>
    </font>
    <font>
      <u/>
      <sz val="8.0"/>
      <color rgb="FF0000FF"/>
      <name val="Arial"/>
    </font>
    <font>
      <sz val="7.0"/>
      <color rgb="FFC0C0C0"/>
      <name val="Arial"/>
    </font>
    <font>
      <u/>
      <sz val="10.0"/>
      <color rgb="FF0000FF"/>
      <name val="Arial"/>
    </font>
    <font/>
    <font>
      <sz val="8.0"/>
      <color theme="1"/>
      <name val="Arial"/>
    </font>
    <font>
      <b/>
      <sz val="9.0"/>
      <color theme="1"/>
      <name val="Arial"/>
    </font>
    <font>
      <b/>
      <sz val="8.0"/>
      <color theme="1"/>
      <name val="Arial"/>
    </font>
    <font>
      <b/>
      <sz val="11.0"/>
      <color theme="1"/>
      <name val="Arial"/>
    </font>
    <font>
      <sz val="14.0"/>
      <color theme="1"/>
      <name val="Arial"/>
    </font>
    <font>
      <sz val="9.0"/>
      <color rgb="FF000000"/>
      <name val="Arial"/>
    </font>
    <font>
      <sz val="14.0"/>
      <color rgb="FF000000"/>
      <name val="Arial"/>
    </font>
    <font>
      <b/>
      <sz val="11.0"/>
      <color rgb="FF000000"/>
      <name val="Arial"/>
    </font>
  </fonts>
  <fills count="5">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s>
  <borders count="18">
    <border/>
    <border>
      <left/>
      <right/>
      <top/>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right/>
      <top/>
      <bottom style="thin">
        <color rgb="FFEAEAEA"/>
      </bottom>
    </border>
    <border>
      <left/>
      <right/>
      <top style="thin">
        <color rgb="FFEAEAEA"/>
      </top>
      <bottom style="thin">
        <color rgb="FFEAEAEA"/>
      </bottom>
    </border>
    <border>
      <top style="thin">
        <color rgb="FFEAEAEA"/>
      </top>
      <bottom style="thin">
        <color rgb="FFEAEAEA"/>
      </bottom>
    </border>
    <border>
      <top style="thin">
        <color rgb="FFEFEFEF"/>
      </top>
      <bottom style="thin">
        <color rgb="FFEFEFEF"/>
      </bottom>
    </border>
    <border>
      <left/>
      <right/>
      <top style="thin">
        <color rgb="FFEFEFEF"/>
      </top>
      <bottom style="thin">
        <color rgb="FFEFEFEF"/>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Font="1"/>
    <xf borderId="0" fillId="0" fontId="3" numFmtId="0" xfId="0" applyAlignment="1" applyFont="1">
      <alignment horizontal="right"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Font="1"/>
    <xf borderId="1" fillId="2" fontId="7" numFmtId="0" xfId="0" applyAlignment="1" applyBorder="1" applyFill="1" applyFont="1">
      <alignment horizontal="right"/>
    </xf>
    <xf borderId="0" fillId="0" fontId="8" numFmtId="0" xfId="0" applyFont="1"/>
    <xf borderId="1" fillId="2" fontId="3" numFmtId="0" xfId="0" applyBorder="1" applyFont="1"/>
    <xf borderId="0" fillId="0" fontId="9" numFmtId="0" xfId="0" applyAlignment="1" applyFont="1">
      <alignment horizontal="left"/>
    </xf>
    <xf borderId="2" fillId="0" fontId="3" numFmtId="164" xfId="0" applyAlignment="1" applyBorder="1" applyFont="1" applyNumberFormat="1">
      <alignment horizontal="center" readingOrder="0" shrinkToFit="1" vertical="center" wrapText="0"/>
    </xf>
    <xf borderId="2" fillId="0" fontId="10" numFmtId="0" xfId="0" applyBorder="1" applyFont="1"/>
    <xf borderId="0" fillId="0" fontId="3" numFmtId="0" xfId="0" applyAlignment="1" applyFont="1">
      <alignment horizontal="right" readingOrder="0" vertical="center"/>
    </xf>
    <xf borderId="2" fillId="0" fontId="3" numFmtId="0" xfId="0" applyAlignment="1" applyBorder="1" applyFont="1">
      <alignment horizontal="center" readingOrder="0" vertical="center"/>
    </xf>
    <xf borderId="3" fillId="0" fontId="5" numFmtId="0" xfId="0" applyAlignment="1" applyBorder="1" applyFont="1">
      <alignment horizontal="center" vertical="center"/>
    </xf>
    <xf borderId="4" fillId="0" fontId="10" numFmtId="0" xfId="0" applyBorder="1" applyFont="1"/>
    <xf borderId="5" fillId="0" fontId="3" numFmtId="0" xfId="0" applyAlignment="1" applyBorder="1" applyFont="1">
      <alignment horizontal="center" readingOrder="0" shrinkToFit="1" vertical="center" wrapText="0"/>
    </xf>
    <xf borderId="5" fillId="0" fontId="10" numFmtId="0" xfId="0" applyBorder="1" applyFont="1"/>
    <xf borderId="3" fillId="0" fontId="3" numFmtId="165" xfId="0" applyAlignment="1" applyBorder="1" applyFont="1" applyNumberFormat="1">
      <alignment horizontal="center" vertical="center"/>
    </xf>
    <xf borderId="6" fillId="0" fontId="11" numFmtId="166" xfId="0" applyAlignment="1" applyBorder="1" applyFont="1" applyNumberFormat="1">
      <alignment horizontal="center" shrinkToFit="1" vertical="center" wrapText="0"/>
    </xf>
    <xf borderId="7" fillId="0" fontId="11" numFmtId="166" xfId="0" applyAlignment="1" applyBorder="1" applyFont="1" applyNumberFormat="1">
      <alignment horizontal="center" shrinkToFit="1" vertical="center" wrapText="0"/>
    </xf>
    <xf borderId="8" fillId="0" fontId="11" numFmtId="166" xfId="0" applyAlignment="1" applyBorder="1" applyFont="1" applyNumberFormat="1">
      <alignment horizontal="center" shrinkToFit="1" vertical="center" wrapText="0"/>
    </xf>
    <xf borderId="9" fillId="0" fontId="12" numFmtId="0" xfId="0" applyAlignment="1" applyBorder="1" applyFont="1">
      <alignment horizontal="left" vertical="center"/>
    </xf>
    <xf borderId="9" fillId="0" fontId="12" numFmtId="0" xfId="0" applyAlignment="1" applyBorder="1" applyFont="1">
      <alignment horizontal="left" readingOrder="0" vertical="center"/>
    </xf>
    <xf borderId="9" fillId="0" fontId="12" numFmtId="0" xfId="0" applyAlignment="1" applyBorder="1" applyFont="1">
      <alignment horizontal="center" readingOrder="0" shrinkToFit="0" vertical="center" wrapText="1"/>
    </xf>
    <xf borderId="9" fillId="0" fontId="13" numFmtId="0" xfId="0" applyAlignment="1" applyBorder="1" applyFont="1">
      <alignment horizontal="center" shrinkToFit="0" vertical="center" wrapText="1"/>
    </xf>
    <xf borderId="9" fillId="0" fontId="12" numFmtId="0" xfId="0" applyAlignment="1" applyBorder="1" applyFont="1">
      <alignment horizontal="center" readingOrder="0" vertical="center"/>
    </xf>
    <xf borderId="9" fillId="0" fontId="12" numFmtId="0" xfId="0" applyAlignment="1" applyBorder="1" applyFont="1">
      <alignment horizontal="center" shrinkToFit="0" vertical="center" wrapText="1"/>
    </xf>
    <xf borderId="10" fillId="0" fontId="6" numFmtId="0" xfId="0" applyAlignment="1" applyBorder="1" applyFont="1">
      <alignment horizontal="center" shrinkToFit="1" vertical="center" wrapText="0"/>
    </xf>
    <xf borderId="11" fillId="0" fontId="6" numFmtId="0" xfId="0" applyAlignment="1" applyBorder="1" applyFont="1">
      <alignment horizontal="center" shrinkToFit="1" vertical="center" wrapText="0"/>
    </xf>
    <xf borderId="12" fillId="0" fontId="6" numFmtId="0" xfId="0" applyAlignment="1" applyBorder="1" applyFont="1">
      <alignment horizontal="center" shrinkToFit="1" vertical="center" wrapText="0"/>
    </xf>
    <xf borderId="13" fillId="3" fontId="14" numFmtId="0" xfId="0" applyAlignment="1" applyBorder="1" applyFill="1" applyFont="1">
      <alignment horizontal="left" vertical="center"/>
    </xf>
    <xf borderId="13" fillId="3" fontId="14" numFmtId="0" xfId="0" applyAlignment="1" applyBorder="1" applyFont="1">
      <alignment readingOrder="0" vertical="center"/>
    </xf>
    <xf borderId="13" fillId="3" fontId="6" numFmtId="0" xfId="0" applyAlignment="1" applyBorder="1" applyFont="1">
      <alignment vertical="center"/>
    </xf>
    <xf borderId="13" fillId="3" fontId="6" numFmtId="0" xfId="0" applyAlignment="1" applyBorder="1" applyFont="1">
      <alignment horizontal="center" vertical="center"/>
    </xf>
    <xf borderId="13" fillId="3" fontId="6" numFmtId="167" xfId="0" applyAlignment="1" applyBorder="1" applyFont="1" applyNumberFormat="1">
      <alignment horizontal="right" vertical="center"/>
    </xf>
    <xf borderId="13" fillId="3" fontId="6" numFmtId="167" xfId="0" applyAlignment="1" applyBorder="1" applyFont="1" applyNumberFormat="1">
      <alignment horizontal="center" vertical="center"/>
    </xf>
    <xf borderId="13" fillId="3" fontId="6" numFmtId="1" xfId="0" applyAlignment="1" applyBorder="1" applyFont="1" applyNumberFormat="1">
      <alignment horizontal="center" vertical="center"/>
    </xf>
    <xf borderId="13" fillId="3" fontId="6" numFmtId="9" xfId="0" applyAlignment="1" applyBorder="1" applyFont="1" applyNumberFormat="1">
      <alignment horizontal="center" vertical="center"/>
    </xf>
    <xf borderId="13" fillId="3" fontId="15" numFmtId="1" xfId="0" applyAlignment="1" applyBorder="1" applyFont="1" applyNumberFormat="1">
      <alignment horizontal="center" vertical="center"/>
    </xf>
    <xf borderId="13" fillId="3" fontId="6" numFmtId="0" xfId="0" applyAlignment="1" applyBorder="1" applyFont="1">
      <alignment horizontal="left" vertical="center"/>
    </xf>
    <xf borderId="14" fillId="3" fontId="6" numFmtId="0" xfId="0" applyAlignment="1" applyBorder="1" applyFont="1">
      <alignment vertical="center"/>
    </xf>
    <xf borderId="15" fillId="0" fontId="6" numFmtId="0" xfId="0" applyAlignment="1" applyBorder="1" applyFont="1">
      <alignment horizontal="left" vertical="center"/>
    </xf>
    <xf borderId="15" fillId="0" fontId="6" numFmtId="0" xfId="0" applyAlignment="1" applyBorder="1" applyFont="1">
      <alignment readingOrder="0" shrinkToFit="0" vertical="center" wrapText="1"/>
    </xf>
    <xf borderId="15" fillId="0" fontId="6" numFmtId="0" xfId="0" applyAlignment="1" applyBorder="1" applyFont="1">
      <alignment readingOrder="0" vertical="center"/>
    </xf>
    <xf borderId="16" fillId="0" fontId="16" numFmtId="0" xfId="0" applyAlignment="1" applyBorder="1" applyFont="1">
      <alignment horizontal="center" vertical="center"/>
    </xf>
    <xf borderId="17" fillId="4" fontId="16" numFmtId="167" xfId="0" applyAlignment="1" applyBorder="1" applyFill="1" applyFont="1" applyNumberFormat="1">
      <alignment horizontal="center" readingOrder="0" vertical="center"/>
    </xf>
    <xf borderId="16" fillId="0" fontId="16" numFmtId="167" xfId="0" applyAlignment="1" applyBorder="1" applyFont="1" applyNumberFormat="1">
      <alignment horizontal="center" vertical="center"/>
    </xf>
    <xf borderId="17" fillId="4" fontId="16" numFmtId="1" xfId="0" applyAlignment="1" applyBorder="1" applyFont="1" applyNumberFormat="1">
      <alignment horizontal="center" readingOrder="0" vertical="center"/>
    </xf>
    <xf borderId="17" fillId="4" fontId="16" numFmtId="9" xfId="0" applyAlignment="1" applyBorder="1" applyFont="1" applyNumberFormat="1">
      <alignment horizontal="center" vertical="center"/>
    </xf>
    <xf borderId="16" fillId="0" fontId="16" numFmtId="1" xfId="0" applyAlignment="1" applyBorder="1" applyFont="1" applyNumberFormat="1">
      <alignment horizontal="center" vertical="center"/>
    </xf>
    <xf borderId="16" fillId="0" fontId="17" numFmtId="1" xfId="0" applyAlignment="1" applyBorder="1" applyFont="1" applyNumberFormat="1">
      <alignment horizontal="center" vertical="center"/>
    </xf>
    <xf borderId="15" fillId="0" fontId="6" numFmtId="0" xfId="0" applyAlignment="1" applyBorder="1" applyFont="1">
      <alignment vertical="center"/>
    </xf>
    <xf borderId="0" fillId="0" fontId="17" numFmtId="1" xfId="0" applyAlignment="1" applyFont="1" applyNumberFormat="1">
      <alignment horizontal="center" vertical="center"/>
    </xf>
    <xf borderId="0" fillId="0" fontId="16" numFmtId="0" xfId="0" applyAlignment="1" applyFont="1">
      <alignment horizontal="center" vertical="center"/>
    </xf>
    <xf borderId="14" fillId="3" fontId="14" numFmtId="0" xfId="0" applyAlignment="1" applyBorder="1" applyFont="1">
      <alignment horizontal="left" vertical="center"/>
    </xf>
    <xf borderId="14" fillId="3" fontId="14" numFmtId="0" xfId="0" applyAlignment="1" applyBorder="1" applyFont="1">
      <alignment vertical="center"/>
    </xf>
    <xf borderId="14" fillId="3" fontId="6" numFmtId="0" xfId="0" applyAlignment="1" applyBorder="1" applyFont="1">
      <alignment horizontal="center" vertical="center"/>
    </xf>
    <xf borderId="14" fillId="3" fontId="6" numFmtId="167" xfId="0" applyAlignment="1" applyBorder="1" applyFont="1" applyNumberFormat="1">
      <alignment horizontal="center" vertical="center"/>
    </xf>
    <xf borderId="14" fillId="3" fontId="6" numFmtId="1" xfId="0" applyAlignment="1" applyBorder="1" applyFont="1" applyNumberFormat="1">
      <alignment horizontal="center" vertical="center"/>
    </xf>
    <xf borderId="14" fillId="3" fontId="6" numFmtId="9" xfId="0" applyAlignment="1" applyBorder="1" applyFont="1" applyNumberFormat="1">
      <alignment horizontal="center" vertical="center"/>
    </xf>
    <xf borderId="14" fillId="3" fontId="15" numFmtId="1" xfId="0" applyAlignment="1" applyBorder="1" applyFont="1" applyNumberFormat="1">
      <alignment horizontal="center" vertical="center"/>
    </xf>
    <xf borderId="14" fillId="3" fontId="6" numFmtId="0" xfId="0" applyAlignment="1" applyBorder="1" applyFont="1">
      <alignment horizontal="left" vertical="center"/>
    </xf>
    <xf borderId="15" fillId="0" fontId="6" numFmtId="0" xfId="0" applyAlignment="1" applyBorder="1" applyFont="1">
      <alignment shrinkToFit="0" vertical="center" wrapText="1"/>
    </xf>
    <xf borderId="17" fillId="4" fontId="16" numFmtId="1" xfId="0" applyAlignment="1" applyBorder="1" applyFont="1" applyNumberFormat="1">
      <alignment horizontal="center" vertical="center"/>
    </xf>
    <xf borderId="15" fillId="0" fontId="6" numFmtId="0" xfId="0" applyAlignment="1" applyBorder="1" applyFont="1">
      <alignment horizontal="left" readingOrder="0" vertical="center"/>
    </xf>
    <xf borderId="15" fillId="3" fontId="16" numFmtId="0" xfId="0" applyAlignment="1" applyBorder="1" applyFont="1">
      <alignment vertical="center"/>
    </xf>
    <xf borderId="15" fillId="3" fontId="6" numFmtId="0" xfId="0" applyAlignment="1" applyBorder="1" applyFont="1">
      <alignment vertical="center"/>
    </xf>
    <xf borderId="16" fillId="3" fontId="6" numFmtId="0" xfId="0" applyAlignment="1" applyBorder="1" applyFont="1">
      <alignment vertical="center"/>
    </xf>
    <xf borderId="17" fillId="3" fontId="6" numFmtId="0" xfId="0" applyAlignment="1" applyBorder="1" applyFont="1">
      <alignment horizontal="center" vertical="center"/>
    </xf>
    <xf borderId="16" fillId="3" fontId="6" numFmtId="0" xfId="0" applyAlignment="1" applyBorder="1" applyFont="1">
      <alignment horizontal="center" vertical="center"/>
    </xf>
    <xf borderId="17" fillId="3" fontId="6" numFmtId="0" xfId="0" applyAlignment="1" applyBorder="1" applyFont="1">
      <alignment vertical="center"/>
    </xf>
    <xf borderId="15" fillId="0" fontId="14" numFmtId="0" xfId="0" applyAlignment="1" applyBorder="1" applyFont="1">
      <alignment horizontal="left" vertical="center"/>
    </xf>
    <xf borderId="15" fillId="2" fontId="18" numFmtId="0" xfId="0" applyAlignment="1" applyBorder="1" applyFont="1">
      <alignment vertical="center"/>
    </xf>
    <xf borderId="15" fillId="2" fontId="16" numFmtId="0" xfId="0" applyAlignment="1" applyBorder="1" applyFont="1">
      <alignment vertical="center"/>
    </xf>
    <xf borderId="17" fillId="2" fontId="16" numFmtId="167" xfId="0" applyAlignment="1" applyBorder="1" applyFont="1" applyNumberFormat="1">
      <alignment horizontal="center" vertical="center"/>
    </xf>
    <xf borderId="17" fillId="2" fontId="16" numFmtId="1" xfId="0" applyAlignment="1" applyBorder="1" applyFont="1" applyNumberFormat="1">
      <alignment horizontal="center" vertical="center"/>
    </xf>
    <xf borderId="17" fillId="2" fontId="16" numFmtId="9" xfId="0" applyAlignment="1" applyBorder="1" applyFont="1" applyNumberFormat="1">
      <alignment horizontal="center" vertical="center"/>
    </xf>
    <xf borderId="15" fillId="0" fontId="16" numFmtId="0" xfId="0" applyAlignment="1" applyBorder="1" applyFont="1">
      <alignment vertical="center"/>
    </xf>
    <xf borderId="15" fillId="0" fontId="16" numFmtId="0" xfId="0" applyAlignment="1" applyBorder="1" applyFont="1">
      <alignment horizontal="left" vertical="center"/>
    </xf>
    <xf borderId="15" fillId="0" fontId="16" numFmtId="0" xfId="0" applyAlignment="1" applyBorder="1" applyFont="1">
      <alignment horizontal="center" vertical="center"/>
    </xf>
    <xf borderId="15" fillId="2" fontId="16" numFmtId="167" xfId="0" applyAlignment="1" applyBorder="1" applyFont="1" applyNumberFormat="1">
      <alignment horizontal="center" vertical="center"/>
    </xf>
    <xf borderId="15" fillId="0" fontId="16" numFmtId="167" xfId="0" applyAlignment="1" applyBorder="1" applyFont="1" applyNumberFormat="1">
      <alignment horizontal="center" vertical="center"/>
    </xf>
    <xf borderId="15" fillId="2" fontId="16" numFmtId="1" xfId="0" applyAlignment="1" applyBorder="1" applyFont="1" applyNumberFormat="1">
      <alignment horizontal="center" vertical="center"/>
    </xf>
    <xf borderId="15" fillId="2" fontId="16" numFmtId="9" xfId="0" applyAlignment="1" applyBorder="1" applyFont="1" applyNumberFormat="1">
      <alignment horizontal="center" vertical="center"/>
    </xf>
    <xf borderId="15" fillId="0" fontId="16" numFmtId="1" xfId="0" applyAlignment="1" applyBorder="1" applyFont="1" applyNumberFormat="1">
      <alignment horizontal="center" vertical="center"/>
    </xf>
    <xf borderId="15" fillId="0" fontId="15" numFmtId="1" xfId="0" applyAlignment="1" applyBorder="1" applyFont="1" applyNumberFormat="1">
      <alignment horizontal="center" vertical="center"/>
    </xf>
    <xf borderId="0" fillId="0" fontId="6" numFmtId="0" xfId="0" applyAlignment="1" applyFont="1">
      <alignment vertical="center"/>
    </xf>
    <xf borderId="1" fillId="3" fontId="15" numFmtId="0" xfId="0" applyAlignment="1" applyBorder="1" applyFont="1">
      <alignment vertical="center"/>
    </xf>
    <xf borderId="0" fillId="0" fontId="11" numFmtId="0" xfId="0" applyAlignment="1" applyFont="1">
      <alignment vertical="center"/>
    </xf>
  </cellXfs>
  <cellStyles count="1">
    <cellStyle xfId="0" name="Normal" builtinId="0"/>
  </cellStyles>
  <dxfs count="4">
    <dxf>
      <font>
        <color theme="0"/>
      </font>
      <fill>
        <patternFill patternType="solid">
          <fgColor theme="5"/>
          <bgColor theme="5"/>
        </patternFill>
      </fill>
      <border/>
    </dxf>
    <dxf>
      <font/>
      <fill>
        <patternFill patternType="solid">
          <fgColor rgb="FF7F7F7F"/>
          <bgColor rgb="FF7F7F7F"/>
        </patternFill>
      </fill>
      <border/>
    </dxf>
    <dxf>
      <font/>
      <fill>
        <patternFill patternType="solid">
          <fgColor rgb="FF0070C0"/>
          <bgColor rgb="FF0070C0"/>
        </patternFill>
      </fill>
      <border/>
    </dxf>
    <dxf>
      <font/>
      <fill>
        <patternFill patternType="none"/>
      </fill>
      <border>
        <left style="thin">
          <color rgb="FFC00000"/>
        </left>
        <right style="thin">
          <color rgb="FFC00000"/>
        </right>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88"/>
    <col customWidth="1" min="2" max="2" width="28.75"/>
    <col customWidth="1" min="3" max="3" width="37.0"/>
    <col customWidth="1" hidden="1" min="4" max="4" width="6.88"/>
    <col customWidth="1" min="5" max="6" width="12.0"/>
    <col customWidth="1" min="7" max="7" width="6.0"/>
    <col customWidth="1" min="8" max="8" width="6.75"/>
    <col customWidth="1" min="9" max="9" width="26.5"/>
    <col customWidth="1" min="10" max="10" width="1.88"/>
    <col customWidth="1" min="11" max="66" width="2.38"/>
    <col customWidth="1" min="67" max="71" width="2.75"/>
    <col customWidth="1" min="72" max="73" width="2.13"/>
    <col customWidth="1" min="74" max="74" width="2.25"/>
    <col customWidth="1" min="75" max="75" width="2.0"/>
    <col customWidth="1" min="76" max="76" width="2.63"/>
    <col customWidth="1" min="77" max="78" width="2.0"/>
    <col customWidth="1" min="79" max="80" width="2.13"/>
  </cols>
  <sheetData>
    <row r="1" ht="30.0" customHeight="1">
      <c r="A1" s="1" t="s">
        <v>0</v>
      </c>
      <c r="B1" s="2"/>
      <c r="C1" s="2"/>
      <c r="D1" s="2"/>
      <c r="E1" s="2"/>
      <c r="F1" s="2"/>
      <c r="G1" s="3"/>
      <c r="H1" s="3"/>
      <c r="I1" s="4"/>
      <c r="J1" s="3"/>
      <c r="K1" s="5" t="s">
        <v>1</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ht="18.0" customHeight="1">
      <c r="A2" s="6" t="s">
        <v>2</v>
      </c>
      <c r="B2" s="7"/>
      <c r="C2" s="7"/>
      <c r="D2" s="8"/>
      <c r="E2" s="9"/>
      <c r="F2" s="9"/>
      <c r="G2" s="3"/>
      <c r="H2" s="10"/>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row>
    <row r="3" ht="12.75" customHeight="1">
      <c r="A3" s="6"/>
      <c r="B3" s="3"/>
      <c r="C3" s="3"/>
      <c r="D3" s="3"/>
      <c r="E3" s="3"/>
      <c r="F3" s="3"/>
      <c r="G3" s="3"/>
      <c r="H3" s="10"/>
      <c r="I3" s="3"/>
      <c r="J3" s="3"/>
      <c r="K3" s="11"/>
      <c r="L3" s="11"/>
      <c r="M3" s="11"/>
      <c r="N3" s="11"/>
      <c r="O3" s="11"/>
      <c r="P3" s="11"/>
      <c r="Q3" s="11"/>
      <c r="R3" s="11"/>
      <c r="S3" s="11"/>
      <c r="T3" s="11"/>
      <c r="U3" s="11"/>
      <c r="V3" s="11"/>
      <c r="W3" s="11"/>
      <c r="X3" s="11"/>
      <c r="Y3" s="11"/>
      <c r="Z3" s="11"/>
      <c r="AA3" s="11"/>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row>
    <row r="4" ht="17.25" customHeight="1">
      <c r="A4" s="3"/>
      <c r="B4" s="4" t="s">
        <v>3</v>
      </c>
      <c r="C4" s="12">
        <v>46113.0</v>
      </c>
      <c r="D4" s="13"/>
      <c r="E4" s="13"/>
      <c r="F4" s="3"/>
      <c r="G4" s="14" t="s">
        <v>4</v>
      </c>
      <c r="H4" s="15">
        <v>1.0</v>
      </c>
      <c r="I4" s="3"/>
      <c r="J4" s="3"/>
      <c r="K4" s="16" t="str">
        <f>"Semana "&amp;(K6-($C$4-WEEKDAY($C$4,1)+2))/7+1</f>
        <v>Semana 1</v>
      </c>
      <c r="Q4" s="17"/>
      <c r="R4" s="16" t="str">
        <f>"Semana "&amp;(R6-($C$4-WEEKDAY($C$4,1)+2))/7+1</f>
        <v>Semana 2</v>
      </c>
      <c r="X4" s="17"/>
      <c r="Y4" s="16" t="str">
        <f>"Semana "&amp;(Y6-($C$4-WEEKDAY($C$4,1)+2))/7+1</f>
        <v>Semana 3</v>
      </c>
      <c r="AE4" s="17"/>
      <c r="AF4" s="16" t="str">
        <f>"Semana "&amp;(AF6-($C$4-WEEKDAY($C$4,1)+2))/7+1</f>
        <v>Semana 4</v>
      </c>
      <c r="AL4" s="17"/>
      <c r="AM4" s="16" t="str">
        <f>"Semana "&amp;(AM6-($C$4-WEEKDAY($C$4,1)+2))/7+1</f>
        <v>Semana 5</v>
      </c>
      <c r="AS4" s="17"/>
      <c r="AT4" s="16" t="str">
        <f>"Semana "&amp;(AT6-($C$4-WEEKDAY($C$4,1)+2))/7+1</f>
        <v>Semana 6</v>
      </c>
      <c r="AZ4" s="17"/>
      <c r="BA4" s="16" t="str">
        <f>"Semana "&amp;(BA6-($C$4-WEEKDAY($C$4,1)+2))/7+1</f>
        <v>Semana 7</v>
      </c>
      <c r="BG4" s="17"/>
      <c r="BH4" s="16" t="str">
        <f>"Semana "&amp;(BH6-($C$4-WEEKDAY($C$4,1)+2))/7+1</f>
        <v>Semana 8</v>
      </c>
      <c r="BN4" s="17"/>
      <c r="BO4" s="16" t="str">
        <f>"Semana "&amp;(BO6-($C$4-WEEKDAY($C$4,1)+2))/7+1</f>
        <v>Semana 9</v>
      </c>
      <c r="BU4" s="17"/>
      <c r="BV4" s="16" t="str">
        <f>"Semana "&amp;(BV6-($C$4-WEEKDAY($C$4,1)+2))/7+1</f>
        <v>Semana 10</v>
      </c>
      <c r="CB4" s="17"/>
    </row>
    <row r="5" ht="17.25" customHeight="1">
      <c r="A5" s="3"/>
      <c r="B5" s="4" t="s">
        <v>5</v>
      </c>
      <c r="C5" s="18" t="s">
        <v>6</v>
      </c>
      <c r="D5" s="19"/>
      <c r="E5" s="19"/>
      <c r="F5" s="3"/>
      <c r="G5" s="3"/>
      <c r="H5" s="3"/>
      <c r="I5" s="3"/>
      <c r="J5" s="3"/>
      <c r="K5" s="20">
        <f>K6</f>
        <v>46111</v>
      </c>
      <c r="Q5" s="17"/>
      <c r="R5" s="20">
        <f>R6</f>
        <v>46118</v>
      </c>
      <c r="X5" s="17"/>
      <c r="Y5" s="20">
        <f>Y6</f>
        <v>46125</v>
      </c>
      <c r="AE5" s="17"/>
      <c r="AF5" s="20">
        <f>AF6</f>
        <v>46132</v>
      </c>
      <c r="AL5" s="17"/>
      <c r="AM5" s="20">
        <f>AM6</f>
        <v>46139</v>
      </c>
      <c r="AS5" s="17"/>
      <c r="AT5" s="20">
        <f>AT6</f>
        <v>46146</v>
      </c>
      <c r="AZ5" s="17"/>
      <c r="BA5" s="20">
        <f>BA6</f>
        <v>46153</v>
      </c>
      <c r="BG5" s="17"/>
      <c r="BH5" s="20">
        <f>BH6</f>
        <v>46160</v>
      </c>
      <c r="BN5" s="17"/>
      <c r="BO5" s="20">
        <f>BO6</f>
        <v>46167</v>
      </c>
      <c r="BU5" s="17"/>
      <c r="BV5" s="20">
        <f>BV6</f>
        <v>46174</v>
      </c>
      <c r="CB5" s="17"/>
    </row>
    <row r="6" ht="12.75" customHeight="1">
      <c r="A6" s="3"/>
      <c r="B6" s="3"/>
      <c r="C6" s="3"/>
      <c r="D6" s="3"/>
      <c r="E6" s="3"/>
      <c r="F6" s="3"/>
      <c r="G6" s="3"/>
      <c r="H6" s="3"/>
      <c r="I6" s="3"/>
      <c r="J6" s="3"/>
      <c r="K6" s="21">
        <f>C4-WEEKDAY(C4,1)+2+7*(H4-1)</f>
        <v>46111</v>
      </c>
      <c r="L6" s="22">
        <f t="shared" ref="L6:CB6" si="1">K6+1</f>
        <v>46112</v>
      </c>
      <c r="M6" s="22">
        <f t="shared" si="1"/>
        <v>46113</v>
      </c>
      <c r="N6" s="22">
        <f t="shared" si="1"/>
        <v>46114</v>
      </c>
      <c r="O6" s="22">
        <f t="shared" si="1"/>
        <v>46115</v>
      </c>
      <c r="P6" s="22">
        <f t="shared" si="1"/>
        <v>46116</v>
      </c>
      <c r="Q6" s="23">
        <f t="shared" si="1"/>
        <v>46117</v>
      </c>
      <c r="R6" s="21">
        <f t="shared" si="1"/>
        <v>46118</v>
      </c>
      <c r="S6" s="22">
        <f t="shared" si="1"/>
        <v>46119</v>
      </c>
      <c r="T6" s="22">
        <f t="shared" si="1"/>
        <v>46120</v>
      </c>
      <c r="U6" s="22">
        <f t="shared" si="1"/>
        <v>46121</v>
      </c>
      <c r="V6" s="22">
        <f t="shared" si="1"/>
        <v>46122</v>
      </c>
      <c r="W6" s="22">
        <f t="shared" si="1"/>
        <v>46123</v>
      </c>
      <c r="X6" s="23">
        <f t="shared" si="1"/>
        <v>46124</v>
      </c>
      <c r="Y6" s="21">
        <f t="shared" si="1"/>
        <v>46125</v>
      </c>
      <c r="Z6" s="22">
        <f t="shared" si="1"/>
        <v>46126</v>
      </c>
      <c r="AA6" s="22">
        <f t="shared" si="1"/>
        <v>46127</v>
      </c>
      <c r="AB6" s="22">
        <f t="shared" si="1"/>
        <v>46128</v>
      </c>
      <c r="AC6" s="22">
        <f t="shared" si="1"/>
        <v>46129</v>
      </c>
      <c r="AD6" s="22">
        <f t="shared" si="1"/>
        <v>46130</v>
      </c>
      <c r="AE6" s="23">
        <f t="shared" si="1"/>
        <v>46131</v>
      </c>
      <c r="AF6" s="21">
        <f t="shared" si="1"/>
        <v>46132</v>
      </c>
      <c r="AG6" s="22">
        <f t="shared" si="1"/>
        <v>46133</v>
      </c>
      <c r="AH6" s="22">
        <f t="shared" si="1"/>
        <v>46134</v>
      </c>
      <c r="AI6" s="22">
        <f t="shared" si="1"/>
        <v>46135</v>
      </c>
      <c r="AJ6" s="22">
        <f t="shared" si="1"/>
        <v>46136</v>
      </c>
      <c r="AK6" s="22">
        <f t="shared" si="1"/>
        <v>46137</v>
      </c>
      <c r="AL6" s="23">
        <f t="shared" si="1"/>
        <v>46138</v>
      </c>
      <c r="AM6" s="21">
        <f t="shared" si="1"/>
        <v>46139</v>
      </c>
      <c r="AN6" s="22">
        <f t="shared" si="1"/>
        <v>46140</v>
      </c>
      <c r="AO6" s="22">
        <f t="shared" si="1"/>
        <v>46141</v>
      </c>
      <c r="AP6" s="22">
        <f t="shared" si="1"/>
        <v>46142</v>
      </c>
      <c r="AQ6" s="22">
        <f t="shared" si="1"/>
        <v>46143</v>
      </c>
      <c r="AR6" s="22">
        <f t="shared" si="1"/>
        <v>46144</v>
      </c>
      <c r="AS6" s="23">
        <f t="shared" si="1"/>
        <v>46145</v>
      </c>
      <c r="AT6" s="21">
        <f t="shared" si="1"/>
        <v>46146</v>
      </c>
      <c r="AU6" s="22">
        <f t="shared" si="1"/>
        <v>46147</v>
      </c>
      <c r="AV6" s="22">
        <f t="shared" si="1"/>
        <v>46148</v>
      </c>
      <c r="AW6" s="22">
        <f t="shared" si="1"/>
        <v>46149</v>
      </c>
      <c r="AX6" s="22">
        <f t="shared" si="1"/>
        <v>46150</v>
      </c>
      <c r="AY6" s="22">
        <f t="shared" si="1"/>
        <v>46151</v>
      </c>
      <c r="AZ6" s="23">
        <f t="shared" si="1"/>
        <v>46152</v>
      </c>
      <c r="BA6" s="21">
        <f t="shared" si="1"/>
        <v>46153</v>
      </c>
      <c r="BB6" s="22">
        <f t="shared" si="1"/>
        <v>46154</v>
      </c>
      <c r="BC6" s="22">
        <f t="shared" si="1"/>
        <v>46155</v>
      </c>
      <c r="BD6" s="22">
        <f t="shared" si="1"/>
        <v>46156</v>
      </c>
      <c r="BE6" s="22">
        <f t="shared" si="1"/>
        <v>46157</v>
      </c>
      <c r="BF6" s="22">
        <f t="shared" si="1"/>
        <v>46158</v>
      </c>
      <c r="BG6" s="23">
        <f t="shared" si="1"/>
        <v>46159</v>
      </c>
      <c r="BH6" s="21">
        <f t="shared" si="1"/>
        <v>46160</v>
      </c>
      <c r="BI6" s="22">
        <f t="shared" si="1"/>
        <v>46161</v>
      </c>
      <c r="BJ6" s="22">
        <f t="shared" si="1"/>
        <v>46162</v>
      </c>
      <c r="BK6" s="22">
        <f t="shared" si="1"/>
        <v>46163</v>
      </c>
      <c r="BL6" s="22">
        <f t="shared" si="1"/>
        <v>46164</v>
      </c>
      <c r="BM6" s="22">
        <f t="shared" si="1"/>
        <v>46165</v>
      </c>
      <c r="BN6" s="23">
        <f t="shared" si="1"/>
        <v>46166</v>
      </c>
      <c r="BO6" s="21">
        <f t="shared" si="1"/>
        <v>46167</v>
      </c>
      <c r="BP6" s="22">
        <f t="shared" si="1"/>
        <v>46168</v>
      </c>
      <c r="BQ6" s="22">
        <f t="shared" si="1"/>
        <v>46169</v>
      </c>
      <c r="BR6" s="22">
        <f t="shared" si="1"/>
        <v>46170</v>
      </c>
      <c r="BS6" s="22">
        <f t="shared" si="1"/>
        <v>46171</v>
      </c>
      <c r="BT6" s="22">
        <f t="shared" si="1"/>
        <v>46172</v>
      </c>
      <c r="BU6" s="23">
        <f t="shared" si="1"/>
        <v>46173</v>
      </c>
      <c r="BV6" s="21">
        <f t="shared" si="1"/>
        <v>46174</v>
      </c>
      <c r="BW6" s="22">
        <f t="shared" si="1"/>
        <v>46175</v>
      </c>
      <c r="BX6" s="22">
        <f t="shared" si="1"/>
        <v>46176</v>
      </c>
      <c r="BY6" s="22">
        <f t="shared" si="1"/>
        <v>46177</v>
      </c>
      <c r="BZ6" s="22">
        <f t="shared" si="1"/>
        <v>46178</v>
      </c>
      <c r="CA6" s="22">
        <f t="shared" si="1"/>
        <v>46179</v>
      </c>
      <c r="CB6" s="23">
        <f t="shared" si="1"/>
        <v>46180</v>
      </c>
    </row>
    <row r="7" ht="12.75" customHeight="1">
      <c r="A7" s="24" t="s">
        <v>7</v>
      </c>
      <c r="B7" s="25" t="s">
        <v>8</v>
      </c>
      <c r="C7" s="26" t="s">
        <v>9</v>
      </c>
      <c r="D7" s="27" t="s">
        <v>10</v>
      </c>
      <c r="E7" s="28" t="s">
        <v>11</v>
      </c>
      <c r="F7" s="28" t="s">
        <v>12</v>
      </c>
      <c r="G7" s="26" t="s">
        <v>13</v>
      </c>
      <c r="H7" s="29" t="s">
        <v>14</v>
      </c>
      <c r="I7" s="26" t="s">
        <v>15</v>
      </c>
      <c r="J7" s="29"/>
      <c r="K7" s="30" t="str">
        <f t="shared" ref="K7:CB7" si="2">CHOOSE(WEEKDAY(K6,1),"S","M","T","W","T","F","S")</f>
        <v>M</v>
      </c>
      <c r="L7" s="31" t="str">
        <f t="shared" si="2"/>
        <v>T</v>
      </c>
      <c r="M7" s="31" t="str">
        <f t="shared" si="2"/>
        <v>W</v>
      </c>
      <c r="N7" s="31" t="str">
        <f t="shared" si="2"/>
        <v>T</v>
      </c>
      <c r="O7" s="31" t="str">
        <f t="shared" si="2"/>
        <v>F</v>
      </c>
      <c r="P7" s="31" t="str">
        <f t="shared" si="2"/>
        <v>S</v>
      </c>
      <c r="Q7" s="32" t="str">
        <f t="shared" si="2"/>
        <v>S</v>
      </c>
      <c r="R7" s="30" t="str">
        <f t="shared" si="2"/>
        <v>M</v>
      </c>
      <c r="S7" s="31" t="str">
        <f t="shared" si="2"/>
        <v>T</v>
      </c>
      <c r="T7" s="31" t="str">
        <f t="shared" si="2"/>
        <v>W</v>
      </c>
      <c r="U7" s="31" t="str">
        <f t="shared" si="2"/>
        <v>T</v>
      </c>
      <c r="V7" s="31" t="str">
        <f t="shared" si="2"/>
        <v>F</v>
      </c>
      <c r="W7" s="31" t="str">
        <f t="shared" si="2"/>
        <v>S</v>
      </c>
      <c r="X7" s="32" t="str">
        <f t="shared" si="2"/>
        <v>S</v>
      </c>
      <c r="Y7" s="30" t="str">
        <f t="shared" si="2"/>
        <v>M</v>
      </c>
      <c r="Z7" s="31" t="str">
        <f t="shared" si="2"/>
        <v>T</v>
      </c>
      <c r="AA7" s="31" t="str">
        <f t="shared" si="2"/>
        <v>W</v>
      </c>
      <c r="AB7" s="31" t="str">
        <f t="shared" si="2"/>
        <v>T</v>
      </c>
      <c r="AC7" s="31" t="str">
        <f t="shared" si="2"/>
        <v>F</v>
      </c>
      <c r="AD7" s="31" t="str">
        <f t="shared" si="2"/>
        <v>S</v>
      </c>
      <c r="AE7" s="32" t="str">
        <f t="shared" si="2"/>
        <v>S</v>
      </c>
      <c r="AF7" s="30" t="str">
        <f t="shared" si="2"/>
        <v>M</v>
      </c>
      <c r="AG7" s="31" t="str">
        <f t="shared" si="2"/>
        <v>T</v>
      </c>
      <c r="AH7" s="31" t="str">
        <f t="shared" si="2"/>
        <v>W</v>
      </c>
      <c r="AI7" s="31" t="str">
        <f t="shared" si="2"/>
        <v>T</v>
      </c>
      <c r="AJ7" s="31" t="str">
        <f t="shared" si="2"/>
        <v>F</v>
      </c>
      <c r="AK7" s="31" t="str">
        <f t="shared" si="2"/>
        <v>S</v>
      </c>
      <c r="AL7" s="32" t="str">
        <f t="shared" si="2"/>
        <v>S</v>
      </c>
      <c r="AM7" s="30" t="str">
        <f t="shared" si="2"/>
        <v>M</v>
      </c>
      <c r="AN7" s="31" t="str">
        <f t="shared" si="2"/>
        <v>T</v>
      </c>
      <c r="AO7" s="31" t="str">
        <f t="shared" si="2"/>
        <v>W</v>
      </c>
      <c r="AP7" s="31" t="str">
        <f t="shared" si="2"/>
        <v>T</v>
      </c>
      <c r="AQ7" s="31" t="str">
        <f t="shared" si="2"/>
        <v>F</v>
      </c>
      <c r="AR7" s="31" t="str">
        <f t="shared" si="2"/>
        <v>S</v>
      </c>
      <c r="AS7" s="32" t="str">
        <f t="shared" si="2"/>
        <v>S</v>
      </c>
      <c r="AT7" s="30" t="str">
        <f t="shared" si="2"/>
        <v>M</v>
      </c>
      <c r="AU7" s="31" t="str">
        <f t="shared" si="2"/>
        <v>T</v>
      </c>
      <c r="AV7" s="31" t="str">
        <f t="shared" si="2"/>
        <v>W</v>
      </c>
      <c r="AW7" s="31" t="str">
        <f t="shared" si="2"/>
        <v>T</v>
      </c>
      <c r="AX7" s="31" t="str">
        <f t="shared" si="2"/>
        <v>F</v>
      </c>
      <c r="AY7" s="31" t="str">
        <f t="shared" si="2"/>
        <v>S</v>
      </c>
      <c r="AZ7" s="32" t="str">
        <f t="shared" si="2"/>
        <v>S</v>
      </c>
      <c r="BA7" s="30" t="str">
        <f t="shared" si="2"/>
        <v>M</v>
      </c>
      <c r="BB7" s="31" t="str">
        <f t="shared" si="2"/>
        <v>T</v>
      </c>
      <c r="BC7" s="31" t="str">
        <f t="shared" si="2"/>
        <v>W</v>
      </c>
      <c r="BD7" s="31" t="str">
        <f t="shared" si="2"/>
        <v>T</v>
      </c>
      <c r="BE7" s="31" t="str">
        <f t="shared" si="2"/>
        <v>F</v>
      </c>
      <c r="BF7" s="31" t="str">
        <f t="shared" si="2"/>
        <v>S</v>
      </c>
      <c r="BG7" s="32" t="str">
        <f t="shared" si="2"/>
        <v>S</v>
      </c>
      <c r="BH7" s="30" t="str">
        <f t="shared" si="2"/>
        <v>M</v>
      </c>
      <c r="BI7" s="31" t="str">
        <f t="shared" si="2"/>
        <v>T</v>
      </c>
      <c r="BJ7" s="31" t="str">
        <f t="shared" si="2"/>
        <v>W</v>
      </c>
      <c r="BK7" s="31" t="str">
        <f t="shared" si="2"/>
        <v>T</v>
      </c>
      <c r="BL7" s="31" t="str">
        <f t="shared" si="2"/>
        <v>F</v>
      </c>
      <c r="BM7" s="31" t="str">
        <f t="shared" si="2"/>
        <v>S</v>
      </c>
      <c r="BN7" s="32" t="str">
        <f t="shared" si="2"/>
        <v>S</v>
      </c>
      <c r="BO7" s="30" t="str">
        <f t="shared" si="2"/>
        <v>M</v>
      </c>
      <c r="BP7" s="31" t="str">
        <f t="shared" si="2"/>
        <v>T</v>
      </c>
      <c r="BQ7" s="31" t="str">
        <f t="shared" si="2"/>
        <v>W</v>
      </c>
      <c r="BR7" s="31" t="str">
        <f t="shared" si="2"/>
        <v>T</v>
      </c>
      <c r="BS7" s="31" t="str">
        <f t="shared" si="2"/>
        <v>F</v>
      </c>
      <c r="BT7" s="31" t="str">
        <f t="shared" si="2"/>
        <v>S</v>
      </c>
      <c r="BU7" s="32" t="str">
        <f t="shared" si="2"/>
        <v>S</v>
      </c>
      <c r="BV7" s="30" t="str">
        <f t="shared" si="2"/>
        <v>M</v>
      </c>
      <c r="BW7" s="31" t="str">
        <f t="shared" si="2"/>
        <v>T</v>
      </c>
      <c r="BX7" s="31" t="str">
        <f t="shared" si="2"/>
        <v>W</v>
      </c>
      <c r="BY7" s="31" t="str">
        <f t="shared" si="2"/>
        <v>T</v>
      </c>
      <c r="BZ7" s="31" t="str">
        <f t="shared" si="2"/>
        <v>F</v>
      </c>
      <c r="CA7" s="31" t="str">
        <f t="shared" si="2"/>
        <v>S</v>
      </c>
      <c r="CB7" s="32" t="str">
        <f t="shared" si="2"/>
        <v>S</v>
      </c>
    </row>
    <row r="8" ht="18.75" customHeight="1">
      <c r="A8" s="33" t="str">
        <f>IF(ISERROR(VALUE(SUBSTITUTE(GanttChart!prevWBS,".",""))),"1",IF(ISERROR(FIND("`",SUBSTITUTE(GanttChart!prevWBS,".","`",1))),TEXT(VALUE(GanttChart!prevWBS)+1,"#"),TEXT(VALUE(LEFT(GanttChart!prevWBS,FIND("`",SUBSTITUTE(GanttChart!prevWBS,".","`",1))-1))+1,"#")))</f>
        <v>1</v>
      </c>
      <c r="B8" s="34" t="s">
        <v>16</v>
      </c>
      <c r="C8" s="35"/>
      <c r="D8" s="36"/>
      <c r="E8" s="37"/>
      <c r="F8" s="38" t="str">
        <f t="shared" ref="F8:F35" si="3">IF(ISBLANK(E8)," - ",IF(G8=0,E8,E8+G8-1))</f>
        <v> - </v>
      </c>
      <c r="G8" s="39"/>
      <c r="H8" s="40"/>
      <c r="I8" s="39" t="str">
        <f t="shared" ref="I8:I35" si="4">IF(OR(F8=0,E8=0)," - ",NETWORKDAYS(E8,F8))</f>
        <v> - </v>
      </c>
      <c r="J8" s="41"/>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3"/>
      <c r="BP8" s="43"/>
      <c r="BQ8" s="43"/>
      <c r="BR8" s="43"/>
      <c r="BS8" s="43"/>
      <c r="BT8" s="43"/>
      <c r="BU8" s="43"/>
      <c r="BV8" s="43"/>
      <c r="BW8" s="43"/>
      <c r="BX8" s="43"/>
      <c r="BY8" s="43"/>
      <c r="BZ8" s="43"/>
      <c r="CA8" s="43"/>
      <c r="CB8" s="43"/>
    </row>
    <row r="9" ht="16.5" customHeight="1">
      <c r="A9"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9" s="45" t="s">
        <v>17</v>
      </c>
      <c r="C9" s="46" t="s">
        <v>18</v>
      </c>
      <c r="D9" s="47"/>
      <c r="E9" s="48">
        <v>46113.0</v>
      </c>
      <c r="F9" s="49">
        <f t="shared" si="3"/>
        <v>46126</v>
      </c>
      <c r="G9" s="50">
        <v>14.0</v>
      </c>
      <c r="H9" s="51">
        <v>0.3</v>
      </c>
      <c r="I9" s="52">
        <f t="shared" si="4"/>
        <v>10</v>
      </c>
      <c r="J9" s="53"/>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54"/>
      <c r="BP9" s="54"/>
      <c r="BQ9" s="54"/>
      <c r="BR9" s="54"/>
      <c r="BS9" s="54"/>
      <c r="BT9" s="54"/>
      <c r="BU9" s="54"/>
      <c r="BV9" s="54"/>
      <c r="BW9" s="54"/>
      <c r="BX9" s="54"/>
      <c r="BY9" s="54"/>
      <c r="BZ9" s="54"/>
      <c r="CA9" s="54"/>
      <c r="CB9" s="54"/>
    </row>
    <row r="10" ht="14.25" customHeight="1">
      <c r="A10"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0" s="45" t="s">
        <v>19</v>
      </c>
      <c r="C10" s="46" t="s">
        <v>18</v>
      </c>
      <c r="D10" s="47"/>
      <c r="E10" s="48">
        <v>46125.0</v>
      </c>
      <c r="F10" s="49">
        <f t="shared" si="3"/>
        <v>46128</v>
      </c>
      <c r="G10" s="50">
        <v>4.0</v>
      </c>
      <c r="H10" s="51">
        <v>0.6</v>
      </c>
      <c r="I10" s="52">
        <f t="shared" si="4"/>
        <v>4</v>
      </c>
      <c r="J10" s="53"/>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54"/>
      <c r="BP10" s="54"/>
      <c r="BQ10" s="54"/>
      <c r="BR10" s="54"/>
      <c r="BS10" s="54"/>
      <c r="BT10" s="54"/>
      <c r="BU10" s="54"/>
      <c r="BV10" s="54"/>
      <c r="BW10" s="54"/>
      <c r="BX10" s="54"/>
      <c r="BY10" s="54"/>
      <c r="BZ10" s="54"/>
      <c r="CA10" s="54"/>
      <c r="CB10" s="54"/>
    </row>
    <row r="11" ht="14.25" customHeight="1">
      <c r="A11"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1" s="45" t="s">
        <v>20</v>
      </c>
      <c r="C11" s="46" t="s">
        <v>21</v>
      </c>
      <c r="D11" s="47"/>
      <c r="E11" s="48">
        <v>46126.0</v>
      </c>
      <c r="F11" s="49">
        <f t="shared" si="3"/>
        <v>46130</v>
      </c>
      <c r="G11" s="50">
        <v>5.0</v>
      </c>
      <c r="H11" s="51">
        <v>0.6</v>
      </c>
      <c r="I11" s="52">
        <f t="shared" si="4"/>
        <v>4</v>
      </c>
      <c r="J11" s="55"/>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54"/>
      <c r="BP11" s="54"/>
      <c r="BQ11" s="54"/>
      <c r="BR11" s="54"/>
      <c r="BS11" s="54"/>
      <c r="BT11" s="54"/>
      <c r="BU11" s="54"/>
      <c r="BV11" s="54"/>
      <c r="BW11" s="54"/>
      <c r="BX11" s="54"/>
      <c r="BY11" s="54"/>
      <c r="BZ11" s="54"/>
      <c r="CA11" s="54"/>
      <c r="CB11" s="54"/>
    </row>
    <row r="12" ht="14.25" customHeight="1">
      <c r="A12"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2" s="45" t="s">
        <v>22</v>
      </c>
      <c r="C12" s="46" t="s">
        <v>23</v>
      </c>
      <c r="D12" s="56"/>
      <c r="E12" s="48">
        <v>46126.0</v>
      </c>
      <c r="F12" s="49">
        <f t="shared" si="3"/>
        <v>46130</v>
      </c>
      <c r="G12" s="50">
        <v>5.0</v>
      </c>
      <c r="H12" s="51">
        <v>0.6</v>
      </c>
      <c r="I12" s="52">
        <f t="shared" si="4"/>
        <v>4</v>
      </c>
      <c r="J12" s="55"/>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54"/>
      <c r="BP12" s="54"/>
      <c r="BQ12" s="54"/>
      <c r="BR12" s="54"/>
      <c r="BS12" s="54"/>
      <c r="BT12" s="54"/>
      <c r="BU12" s="54"/>
      <c r="BV12" s="54"/>
      <c r="BW12" s="54"/>
      <c r="BX12" s="54"/>
      <c r="BY12" s="54"/>
      <c r="BZ12" s="54"/>
      <c r="CA12" s="54"/>
      <c r="CB12" s="54"/>
    </row>
    <row r="13" ht="12.75" customHeight="1">
      <c r="A13" s="57" t="str">
        <f>IF(ISERROR(VALUE(SUBSTITUTE(GanttChart!prevWBS,".",""))),"1",IF(ISERROR(FIND("`",SUBSTITUTE(GanttChart!prevWBS,".","`",1))),TEXT(VALUE(GanttChart!prevWBS)+1,"#"),TEXT(VALUE(LEFT(GanttChart!prevWBS,FIND("`",SUBSTITUTE(GanttChart!prevWBS,".","`",1))-1))+1,"#")))</f>
        <v>1</v>
      </c>
      <c r="B13" s="58" t="s">
        <v>24</v>
      </c>
      <c r="C13" s="43"/>
      <c r="D13" s="59"/>
      <c r="E13" s="60"/>
      <c r="F13" s="60" t="str">
        <f t="shared" si="3"/>
        <v> - </v>
      </c>
      <c r="G13" s="61"/>
      <c r="H13" s="62"/>
      <c r="I13" s="61" t="str">
        <f t="shared" si="4"/>
        <v> - </v>
      </c>
      <c r="J13" s="63"/>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43"/>
      <c r="BP13" s="43"/>
      <c r="BQ13" s="43"/>
      <c r="BR13" s="43"/>
      <c r="BS13" s="43"/>
      <c r="BT13" s="43"/>
      <c r="BU13" s="43"/>
      <c r="BV13" s="43"/>
      <c r="BW13" s="43"/>
      <c r="BX13" s="43"/>
      <c r="BY13" s="43"/>
      <c r="BZ13" s="43"/>
      <c r="CA13" s="43"/>
      <c r="CB13" s="43"/>
    </row>
    <row r="14" ht="12.75" customHeight="1">
      <c r="A14"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4" s="65" t="s">
        <v>25</v>
      </c>
      <c r="C14" s="46" t="s">
        <v>26</v>
      </c>
      <c r="D14" s="47"/>
      <c r="E14" s="48">
        <v>46114.0</v>
      </c>
      <c r="F14" s="49">
        <f t="shared" si="3"/>
        <v>46118</v>
      </c>
      <c r="G14" s="50">
        <v>5.0</v>
      </c>
      <c r="H14" s="51">
        <v>0.0</v>
      </c>
      <c r="I14" s="52">
        <f t="shared" si="4"/>
        <v>3</v>
      </c>
      <c r="J14" s="53"/>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54"/>
      <c r="BP14" s="54"/>
      <c r="BQ14" s="54"/>
      <c r="BR14" s="54"/>
      <c r="BS14" s="54"/>
      <c r="BT14" s="54"/>
      <c r="BU14" s="54"/>
      <c r="BV14" s="54"/>
      <c r="BW14" s="54"/>
      <c r="BX14" s="54"/>
      <c r="BY14" s="54"/>
      <c r="BZ14" s="54"/>
      <c r="CA14" s="54"/>
      <c r="CB14" s="54"/>
    </row>
    <row r="15" ht="12.75" customHeight="1">
      <c r="A15" s="57" t="str">
        <f>IF(ISERROR(VALUE(SUBSTITUTE(GanttChart!prevWBS,".",""))),"1",IF(ISERROR(FIND("`",SUBSTITUTE(GanttChart!prevWBS,".","`",1))),TEXT(VALUE(GanttChart!prevWBS)+1,"#"),TEXT(VALUE(LEFT(GanttChart!prevWBS,FIND("`",SUBSTITUTE(GanttChart!prevWBS,".","`",1))-1))+1,"#")))</f>
        <v>1</v>
      </c>
      <c r="B15" s="58" t="s">
        <v>27</v>
      </c>
      <c r="C15" s="43"/>
      <c r="D15" s="59"/>
      <c r="E15" s="60"/>
      <c r="F15" s="60" t="str">
        <f t="shared" si="3"/>
        <v> - </v>
      </c>
      <c r="G15" s="61"/>
      <c r="H15" s="62"/>
      <c r="I15" s="61" t="str">
        <f t="shared" si="4"/>
        <v> - </v>
      </c>
      <c r="J15" s="63"/>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43"/>
      <c r="BP15" s="43"/>
      <c r="BQ15" s="43"/>
      <c r="BR15" s="43"/>
      <c r="BS15" s="43"/>
      <c r="BT15" s="43"/>
      <c r="BU15" s="43"/>
      <c r="BV15" s="43"/>
      <c r="BW15" s="43"/>
      <c r="BX15" s="43"/>
      <c r="BY15" s="43"/>
      <c r="BZ15" s="43"/>
      <c r="CA15" s="43"/>
      <c r="CB15" s="43"/>
    </row>
    <row r="16" ht="12.75" customHeight="1">
      <c r="A16"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6" s="45" t="s">
        <v>28</v>
      </c>
      <c r="C16" s="46" t="s">
        <v>26</v>
      </c>
      <c r="D16" s="47"/>
      <c r="E16" s="48">
        <v>46126.0</v>
      </c>
      <c r="F16" s="49">
        <f t="shared" si="3"/>
        <v>46153</v>
      </c>
      <c r="G16" s="50">
        <v>28.0</v>
      </c>
      <c r="H16" s="51">
        <v>0.0</v>
      </c>
      <c r="I16" s="52">
        <f t="shared" si="4"/>
        <v>20</v>
      </c>
      <c r="J16" s="53"/>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54"/>
      <c r="BP16" s="54"/>
      <c r="BQ16" s="54"/>
      <c r="BR16" s="54"/>
      <c r="BS16" s="54"/>
      <c r="BT16" s="54"/>
      <c r="BU16" s="54"/>
      <c r="BV16" s="54"/>
      <c r="BW16" s="54"/>
      <c r="BX16" s="54"/>
      <c r="BY16" s="54"/>
      <c r="BZ16" s="54"/>
      <c r="CA16" s="54"/>
      <c r="CB16" s="54"/>
    </row>
    <row r="17" ht="12.75" customHeight="1">
      <c r="A17"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7" s="45" t="s">
        <v>29</v>
      </c>
      <c r="C17" s="46" t="s">
        <v>26</v>
      </c>
      <c r="D17" s="47"/>
      <c r="E17" s="48">
        <v>46139.0</v>
      </c>
      <c r="F17" s="49">
        <f t="shared" si="3"/>
        <v>46145</v>
      </c>
      <c r="G17" s="50">
        <v>7.0</v>
      </c>
      <c r="H17" s="51">
        <v>0.0</v>
      </c>
      <c r="I17" s="52">
        <f t="shared" si="4"/>
        <v>5</v>
      </c>
      <c r="J17" s="53"/>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54"/>
      <c r="BP17" s="54"/>
      <c r="BQ17" s="54"/>
      <c r="BR17" s="54"/>
      <c r="BS17" s="54"/>
      <c r="BT17" s="54"/>
      <c r="BU17" s="54"/>
      <c r="BV17" s="54"/>
      <c r="BW17" s="54"/>
      <c r="BX17" s="54"/>
      <c r="BY17" s="54"/>
      <c r="BZ17" s="54"/>
      <c r="CA17" s="54"/>
      <c r="CB17" s="54"/>
    </row>
    <row r="18" ht="15.0" customHeight="1">
      <c r="A18"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8" s="45" t="s">
        <v>30</v>
      </c>
      <c r="C18" s="46" t="s">
        <v>26</v>
      </c>
      <c r="D18" s="47"/>
      <c r="E18" s="48">
        <v>46146.0</v>
      </c>
      <c r="F18" s="49">
        <f t="shared" si="3"/>
        <v>46159</v>
      </c>
      <c r="G18" s="50">
        <v>14.0</v>
      </c>
      <c r="H18" s="51">
        <v>0.0</v>
      </c>
      <c r="I18" s="52">
        <f t="shared" si="4"/>
        <v>10</v>
      </c>
      <c r="J18" s="53"/>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54"/>
      <c r="BP18" s="54"/>
      <c r="BQ18" s="54"/>
      <c r="BR18" s="54"/>
      <c r="BS18" s="54"/>
      <c r="BT18" s="54"/>
      <c r="BU18" s="54"/>
      <c r="BV18" s="54"/>
      <c r="BW18" s="54"/>
      <c r="BX18" s="54"/>
      <c r="BY18" s="54"/>
      <c r="BZ18" s="54"/>
      <c r="CA18" s="54"/>
      <c r="CB18" s="54"/>
    </row>
    <row r="19" ht="15.0" customHeight="1">
      <c r="A19"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9" s="45" t="s">
        <v>31</v>
      </c>
      <c r="C19" s="46" t="s">
        <v>26</v>
      </c>
      <c r="D19" s="56"/>
      <c r="E19" s="48">
        <v>46130.0</v>
      </c>
      <c r="F19" s="49">
        <f t="shared" si="3"/>
        <v>46136</v>
      </c>
      <c r="G19" s="50">
        <v>7.0</v>
      </c>
      <c r="H19" s="51">
        <v>0.0</v>
      </c>
      <c r="I19" s="52">
        <f t="shared" si="4"/>
        <v>5</v>
      </c>
      <c r="J19" s="55"/>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54"/>
      <c r="BP19" s="54"/>
      <c r="BQ19" s="54"/>
      <c r="BR19" s="54"/>
      <c r="BS19" s="54"/>
      <c r="BT19" s="54"/>
      <c r="BU19" s="54"/>
      <c r="BV19" s="54"/>
      <c r="BW19" s="54"/>
      <c r="BX19" s="54"/>
      <c r="BY19" s="54"/>
      <c r="BZ19" s="54"/>
      <c r="CA19" s="54"/>
      <c r="CB19" s="54"/>
    </row>
    <row r="20" ht="15.0" customHeight="1">
      <c r="A20"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0" s="45" t="s">
        <v>32</v>
      </c>
      <c r="C20" s="46" t="s">
        <v>26</v>
      </c>
      <c r="D20" s="56"/>
      <c r="E20" s="48">
        <v>46137.0</v>
      </c>
      <c r="F20" s="49">
        <f t="shared" si="3"/>
        <v>46143</v>
      </c>
      <c r="G20" s="50">
        <v>7.0</v>
      </c>
      <c r="H20" s="51">
        <v>0.0</v>
      </c>
      <c r="I20" s="52">
        <f t="shared" si="4"/>
        <v>5</v>
      </c>
      <c r="J20" s="55"/>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54"/>
      <c r="BP20" s="54"/>
      <c r="BQ20" s="54"/>
      <c r="BR20" s="54"/>
      <c r="BS20" s="54"/>
      <c r="BT20" s="54"/>
      <c r="BU20" s="54"/>
      <c r="BV20" s="54"/>
      <c r="BW20" s="54"/>
      <c r="BX20" s="54"/>
      <c r="BY20" s="54"/>
      <c r="BZ20" s="54"/>
      <c r="CA20" s="54"/>
      <c r="CB20" s="54"/>
    </row>
    <row r="21" ht="12.75" customHeight="1">
      <c r="A21" s="57" t="str">
        <f>IF(ISERROR(VALUE(SUBSTITUTE(GanttChart!prevWBS,".",""))),"1",IF(ISERROR(FIND("`",SUBSTITUTE(GanttChart!prevWBS,".","`",1))),TEXT(VALUE(GanttChart!prevWBS)+1,"#"),TEXT(VALUE(LEFT(GanttChart!prevWBS,FIND("`",SUBSTITUTE(GanttChart!prevWBS,".","`",1))-1))+1,"#")))</f>
        <v>1</v>
      </c>
      <c r="B21" s="58" t="s">
        <v>33</v>
      </c>
      <c r="C21" s="43"/>
      <c r="D21" s="59"/>
      <c r="E21" s="60"/>
      <c r="F21" s="60" t="str">
        <f t="shared" si="3"/>
        <v> - </v>
      </c>
      <c r="G21" s="61"/>
      <c r="H21" s="62"/>
      <c r="I21" s="61" t="str">
        <f t="shared" si="4"/>
        <v> - </v>
      </c>
      <c r="J21" s="63"/>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43"/>
      <c r="BP21" s="43"/>
      <c r="BQ21" s="43"/>
      <c r="BR21" s="43"/>
      <c r="BS21" s="43"/>
      <c r="BT21" s="43"/>
      <c r="BU21" s="43"/>
      <c r="BV21" s="43"/>
      <c r="BW21" s="43"/>
      <c r="BX21" s="43"/>
      <c r="BY21" s="43"/>
      <c r="BZ21" s="43"/>
      <c r="CA21" s="43"/>
      <c r="CB21" s="43"/>
    </row>
    <row r="22" ht="12.75" customHeight="1">
      <c r="A22"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2" s="45" t="s">
        <v>34</v>
      </c>
      <c r="C22" s="46" t="s">
        <v>23</v>
      </c>
      <c r="D22" s="47"/>
      <c r="E22" s="48">
        <v>46128.0</v>
      </c>
      <c r="F22" s="49">
        <f t="shared" si="3"/>
        <v>46155</v>
      </c>
      <c r="G22" s="50">
        <v>28.0</v>
      </c>
      <c r="H22" s="51">
        <v>0.0</v>
      </c>
      <c r="I22" s="52">
        <f t="shared" si="4"/>
        <v>20</v>
      </c>
      <c r="J22" s="53"/>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54"/>
      <c r="BP22" s="54"/>
      <c r="BQ22" s="54"/>
      <c r="BR22" s="54"/>
      <c r="BS22" s="54"/>
      <c r="BT22" s="54"/>
      <c r="BU22" s="54"/>
      <c r="BV22" s="54"/>
      <c r="BW22" s="54"/>
      <c r="BX22" s="54"/>
      <c r="BY22" s="54"/>
      <c r="BZ22" s="54"/>
      <c r="CA22" s="54"/>
      <c r="CB22" s="54"/>
    </row>
    <row r="23" ht="12.75" customHeight="1">
      <c r="A23"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3" s="45" t="s">
        <v>35</v>
      </c>
      <c r="C23" s="46" t="s">
        <v>23</v>
      </c>
      <c r="D23" s="47"/>
      <c r="E23" s="48">
        <v>46139.0</v>
      </c>
      <c r="F23" s="49">
        <f t="shared" si="3"/>
        <v>46145</v>
      </c>
      <c r="G23" s="50">
        <v>7.0</v>
      </c>
      <c r="H23" s="51">
        <v>0.0</v>
      </c>
      <c r="I23" s="52">
        <f t="shared" si="4"/>
        <v>5</v>
      </c>
      <c r="J23" s="53"/>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54"/>
      <c r="BP23" s="54"/>
      <c r="BQ23" s="54"/>
      <c r="BR23" s="54"/>
      <c r="BS23" s="54"/>
      <c r="BT23" s="54"/>
      <c r="BU23" s="54"/>
      <c r="BV23" s="54"/>
      <c r="BW23" s="54"/>
      <c r="BX23" s="54"/>
      <c r="BY23" s="54"/>
      <c r="BZ23" s="54"/>
      <c r="CA23" s="54"/>
      <c r="CB23" s="54"/>
    </row>
    <row r="24" ht="12.75" customHeight="1">
      <c r="A24"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4" s="45" t="s">
        <v>36</v>
      </c>
      <c r="C24" s="46" t="s">
        <v>23</v>
      </c>
      <c r="D24" s="47"/>
      <c r="E24" s="48">
        <v>46146.0</v>
      </c>
      <c r="F24" s="49">
        <f t="shared" si="3"/>
        <v>46159</v>
      </c>
      <c r="G24" s="50">
        <v>14.0</v>
      </c>
      <c r="H24" s="51">
        <v>0.0</v>
      </c>
      <c r="I24" s="52">
        <f t="shared" si="4"/>
        <v>10</v>
      </c>
      <c r="J24" s="53"/>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54"/>
      <c r="BP24" s="54"/>
      <c r="BQ24" s="54"/>
      <c r="BR24" s="54"/>
      <c r="BS24" s="54"/>
      <c r="BT24" s="54"/>
      <c r="BU24" s="54"/>
      <c r="BV24" s="54"/>
      <c r="BW24" s="54"/>
      <c r="BX24" s="54"/>
      <c r="BY24" s="54"/>
      <c r="BZ24" s="54"/>
      <c r="CA24" s="54"/>
      <c r="CB24" s="54"/>
    </row>
    <row r="25" ht="12.75" customHeight="1">
      <c r="A25"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5" s="45" t="s">
        <v>37</v>
      </c>
      <c r="C25" s="46" t="s">
        <v>23</v>
      </c>
      <c r="D25" s="47"/>
      <c r="E25" s="48">
        <v>46160.0</v>
      </c>
      <c r="F25" s="49">
        <f t="shared" si="3"/>
        <v>46166</v>
      </c>
      <c r="G25" s="50">
        <v>7.0</v>
      </c>
      <c r="H25" s="51">
        <v>0.0</v>
      </c>
      <c r="I25" s="52">
        <f t="shared" si="4"/>
        <v>5</v>
      </c>
      <c r="J25" s="53"/>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54"/>
      <c r="BP25" s="54"/>
      <c r="BQ25" s="54"/>
      <c r="BR25" s="54"/>
      <c r="BS25" s="54"/>
      <c r="BT25" s="54"/>
      <c r="BU25" s="54"/>
      <c r="BV25" s="54"/>
      <c r="BW25" s="54"/>
      <c r="BX25" s="54"/>
      <c r="BY25" s="54"/>
      <c r="BZ25" s="54"/>
      <c r="CA25" s="54"/>
      <c r="CB25" s="54"/>
    </row>
    <row r="26" ht="12.75" customHeight="1">
      <c r="A26" s="57" t="str">
        <f>IF(ISERROR(VALUE(SUBSTITUTE(GanttChart!prevWBS,".",""))),"1",IF(ISERROR(FIND("`",SUBSTITUTE(GanttChart!prevWBS,".","`",1))),TEXT(VALUE(GanttChart!prevWBS)+1,"#"),TEXT(VALUE(LEFT(GanttChart!prevWBS,FIND("`",SUBSTITUTE(GanttChart!prevWBS,".","`",1))-1))+1,"#")))</f>
        <v>1</v>
      </c>
      <c r="B26" s="58" t="s">
        <v>38</v>
      </c>
      <c r="C26" s="43"/>
      <c r="D26" s="59"/>
      <c r="E26" s="60"/>
      <c r="F26" s="60" t="str">
        <f t="shared" si="3"/>
        <v> - </v>
      </c>
      <c r="G26" s="61"/>
      <c r="H26" s="62"/>
      <c r="I26" s="61" t="str">
        <f t="shared" si="4"/>
        <v> - </v>
      </c>
      <c r="J26" s="53"/>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54"/>
      <c r="BP26" s="54"/>
      <c r="BQ26" s="54"/>
      <c r="BR26" s="54"/>
      <c r="BS26" s="54"/>
      <c r="BT26" s="54"/>
      <c r="BU26" s="54"/>
      <c r="BV26" s="54"/>
      <c r="BW26" s="54"/>
      <c r="BX26" s="54"/>
      <c r="BY26" s="54"/>
      <c r="BZ26" s="54"/>
      <c r="CA26" s="54"/>
      <c r="CB26" s="54"/>
    </row>
    <row r="27" ht="12.75" customHeight="1">
      <c r="A27"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7" s="65" t="s">
        <v>39</v>
      </c>
      <c r="C27" s="46" t="s">
        <v>23</v>
      </c>
      <c r="D27" s="47"/>
      <c r="E27" s="48">
        <v>46174.0</v>
      </c>
      <c r="F27" s="49">
        <f t="shared" si="3"/>
        <v>46178</v>
      </c>
      <c r="G27" s="66">
        <v>5.0</v>
      </c>
      <c r="H27" s="51">
        <v>0.0</v>
      </c>
      <c r="I27" s="52">
        <f t="shared" si="4"/>
        <v>5</v>
      </c>
      <c r="J27" s="53"/>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54"/>
      <c r="BP27" s="54"/>
      <c r="BQ27" s="54"/>
      <c r="BR27" s="54"/>
      <c r="BS27" s="54"/>
      <c r="BT27" s="54"/>
      <c r="BU27" s="54"/>
      <c r="BV27" s="54"/>
      <c r="BW27" s="54"/>
      <c r="BX27" s="54"/>
      <c r="BY27" s="54"/>
      <c r="BZ27" s="54"/>
      <c r="CA27" s="54"/>
      <c r="CB27" s="54"/>
    </row>
    <row r="28" ht="27.75" customHeight="1">
      <c r="A28"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8" s="65" t="s">
        <v>40</v>
      </c>
      <c r="C28" s="46" t="s">
        <v>26</v>
      </c>
      <c r="D28" s="47"/>
      <c r="E28" s="48">
        <v>46174.0</v>
      </c>
      <c r="F28" s="49">
        <f t="shared" si="3"/>
        <v>46178</v>
      </c>
      <c r="G28" s="66">
        <v>5.0</v>
      </c>
      <c r="H28" s="51">
        <v>0.0</v>
      </c>
      <c r="I28" s="52">
        <f t="shared" si="4"/>
        <v>5</v>
      </c>
      <c r="J28" s="53"/>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54"/>
      <c r="BP28" s="54"/>
      <c r="BQ28" s="54"/>
      <c r="BR28" s="54"/>
      <c r="BS28" s="54"/>
      <c r="BT28" s="54"/>
      <c r="BU28" s="54"/>
      <c r="BV28" s="54"/>
      <c r="BW28" s="54"/>
      <c r="BX28" s="54"/>
      <c r="BY28" s="54"/>
      <c r="BZ28" s="54"/>
      <c r="CA28" s="54"/>
      <c r="CB28" s="54"/>
    </row>
    <row r="29" ht="15.75" customHeight="1">
      <c r="A29" s="57" t="str">
        <f>IF(ISERROR(VALUE(SUBSTITUTE(GanttChart!prevWBS,".",""))),"1",IF(ISERROR(FIND("`",SUBSTITUTE(GanttChart!prevWBS,".","`",1))),TEXT(VALUE(GanttChart!prevWBS)+1,"#"),TEXT(VALUE(LEFT(GanttChart!prevWBS,FIND("`",SUBSTITUTE(GanttChart!prevWBS,".","`",1))-1))+1,"#")))</f>
        <v>1</v>
      </c>
      <c r="B29" s="58" t="s">
        <v>41</v>
      </c>
      <c r="C29" s="43"/>
      <c r="D29" s="59"/>
      <c r="E29" s="60"/>
      <c r="F29" s="60" t="str">
        <f t="shared" si="3"/>
        <v> - </v>
      </c>
      <c r="G29" s="61"/>
      <c r="H29" s="62"/>
      <c r="I29" s="61" t="str">
        <f t="shared" si="4"/>
        <v> - </v>
      </c>
      <c r="J29" s="53"/>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54"/>
      <c r="BP29" s="54"/>
      <c r="BQ29" s="54"/>
      <c r="BR29" s="54"/>
      <c r="BS29" s="54"/>
      <c r="BT29" s="54"/>
      <c r="BU29" s="54"/>
      <c r="BV29" s="54"/>
      <c r="BW29" s="54"/>
      <c r="BX29" s="54"/>
      <c r="BY29" s="54"/>
      <c r="BZ29" s="54"/>
      <c r="CA29" s="54"/>
      <c r="CB29" s="54"/>
    </row>
    <row r="30" ht="14.25" customHeight="1">
      <c r="A30"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0" s="45" t="s">
        <v>42</v>
      </c>
      <c r="C30" s="46" t="s">
        <v>18</v>
      </c>
      <c r="D30" s="47"/>
      <c r="E30" s="48">
        <v>46176.0</v>
      </c>
      <c r="F30" s="49">
        <f t="shared" si="3"/>
        <v>46189</v>
      </c>
      <c r="G30" s="50">
        <v>14.0</v>
      </c>
      <c r="H30" s="51">
        <v>0.0</v>
      </c>
      <c r="I30" s="52">
        <f t="shared" si="4"/>
        <v>10</v>
      </c>
      <c r="J30" s="53"/>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54"/>
      <c r="BP30" s="54"/>
      <c r="BQ30" s="54"/>
      <c r="BR30" s="54"/>
      <c r="BS30" s="54"/>
      <c r="BT30" s="54"/>
      <c r="BU30" s="54"/>
      <c r="BV30" s="54"/>
      <c r="BW30" s="54"/>
      <c r="BX30" s="54"/>
      <c r="BY30" s="54"/>
      <c r="BZ30" s="54"/>
      <c r="CA30" s="54"/>
      <c r="CB30" s="54"/>
    </row>
    <row r="31" ht="12.75" customHeight="1">
      <c r="A31"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1" s="45" t="s">
        <v>43</v>
      </c>
      <c r="C31" s="46" t="s">
        <v>18</v>
      </c>
      <c r="D31" s="47"/>
      <c r="E31" s="48">
        <v>46177.0</v>
      </c>
      <c r="F31" s="49">
        <f t="shared" si="3"/>
        <v>46186</v>
      </c>
      <c r="G31" s="50">
        <v>10.0</v>
      </c>
      <c r="H31" s="51">
        <v>0.0</v>
      </c>
      <c r="I31" s="52">
        <f t="shared" si="4"/>
        <v>7</v>
      </c>
      <c r="J31" s="53"/>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67" t="s">
        <v>44</v>
      </c>
      <c r="BE31" s="44"/>
      <c r="BF31" s="44"/>
      <c r="BG31" s="44"/>
      <c r="BH31" s="44"/>
      <c r="BI31" s="44"/>
      <c r="BJ31" s="44"/>
      <c r="BK31" s="44"/>
      <c r="BL31" s="44"/>
      <c r="BM31" s="44"/>
      <c r="BN31" s="44"/>
      <c r="BO31" s="54"/>
      <c r="BP31" s="54"/>
      <c r="BQ31" s="54"/>
      <c r="BR31" s="54"/>
      <c r="BS31" s="54"/>
      <c r="BT31" s="54"/>
      <c r="BU31" s="54"/>
      <c r="BV31" s="54"/>
      <c r="BW31" s="54"/>
      <c r="BX31" s="54"/>
      <c r="BY31" s="54"/>
      <c r="BZ31" s="54"/>
      <c r="CA31" s="54"/>
      <c r="CB31" s="54"/>
    </row>
    <row r="32" ht="12.75" customHeight="1">
      <c r="A32"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2" s="45" t="s">
        <v>45</v>
      </c>
      <c r="C32" s="46" t="s">
        <v>18</v>
      </c>
      <c r="D32" s="47"/>
      <c r="E32" s="48">
        <v>46206.0</v>
      </c>
      <c r="F32" s="49">
        <f t="shared" si="3"/>
        <v>46209</v>
      </c>
      <c r="G32" s="50">
        <v>4.0</v>
      </c>
      <c r="H32" s="51">
        <v>0.0</v>
      </c>
      <c r="I32" s="52">
        <f t="shared" si="4"/>
        <v>2</v>
      </c>
      <c r="J32" s="53"/>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54"/>
      <c r="BP32" s="54"/>
      <c r="BQ32" s="54"/>
      <c r="BR32" s="54"/>
      <c r="BS32" s="54"/>
      <c r="BT32" s="54"/>
      <c r="BU32" s="54"/>
      <c r="BV32" s="54"/>
      <c r="BW32" s="54"/>
      <c r="BX32" s="54"/>
      <c r="BY32" s="54"/>
      <c r="BZ32" s="54"/>
      <c r="CA32" s="54"/>
      <c r="CB32" s="54"/>
    </row>
    <row r="33" ht="12.75" customHeight="1">
      <c r="A33" s="57" t="str">
        <f>IF(ISERROR(VALUE(SUBSTITUTE(GanttChart!prevWBS,".",""))),"1",IF(ISERROR(FIND("`",SUBSTITUTE(GanttChart!prevWBS,".","`",1))),TEXT(VALUE(GanttChart!prevWBS)+1,"#"),TEXT(VALUE(LEFT(GanttChart!prevWBS,FIND("`",SUBSTITUTE(GanttChart!prevWBS,".","`",1))-1))+1,"#")))</f>
        <v>1</v>
      </c>
      <c r="B33" s="58" t="s">
        <v>46</v>
      </c>
      <c r="C33" s="43"/>
      <c r="D33" s="59"/>
      <c r="E33" s="60"/>
      <c r="F33" s="60" t="str">
        <f t="shared" si="3"/>
        <v> - </v>
      </c>
      <c r="G33" s="61"/>
      <c r="H33" s="62"/>
      <c r="I33" s="61" t="str">
        <f t="shared" si="4"/>
        <v> - </v>
      </c>
      <c r="J33" s="53"/>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54"/>
      <c r="BP33" s="54"/>
      <c r="BQ33" s="54"/>
      <c r="BR33" s="54"/>
      <c r="BS33" s="54"/>
      <c r="BT33" s="54"/>
      <c r="BU33" s="54"/>
      <c r="BV33" s="54"/>
      <c r="BW33" s="54"/>
      <c r="BX33" s="54"/>
      <c r="BY33" s="54"/>
      <c r="BZ33" s="54"/>
      <c r="CA33" s="54"/>
      <c r="CB33" s="54"/>
    </row>
    <row r="34" ht="30.75" customHeight="1">
      <c r="A34"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4" s="65" t="s">
        <v>47</v>
      </c>
      <c r="C34" s="46" t="s">
        <v>18</v>
      </c>
      <c r="D34" s="47"/>
      <c r="E34" s="48">
        <v>46207.0</v>
      </c>
      <c r="F34" s="49">
        <f t="shared" si="3"/>
        <v>46237</v>
      </c>
      <c r="G34" s="66">
        <v>31.0</v>
      </c>
      <c r="H34" s="51">
        <v>0.0</v>
      </c>
      <c r="I34" s="52">
        <f t="shared" si="4"/>
        <v>21</v>
      </c>
      <c r="J34" s="53"/>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54"/>
      <c r="BP34" s="54"/>
      <c r="BQ34" s="54"/>
      <c r="BR34" s="54"/>
      <c r="BS34" s="54"/>
      <c r="BT34" s="54"/>
      <c r="BU34" s="54"/>
      <c r="BV34" s="54"/>
      <c r="BW34" s="54"/>
      <c r="BX34" s="54"/>
      <c r="BY34" s="54"/>
      <c r="BZ34" s="54"/>
      <c r="CA34" s="54"/>
      <c r="CB34" s="54"/>
    </row>
    <row r="35" ht="30.75" customHeight="1">
      <c r="A35" s="44"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5" s="65" t="s">
        <v>48</v>
      </c>
      <c r="C35" s="46" t="s">
        <v>18</v>
      </c>
      <c r="D35" s="47"/>
      <c r="E35" s="48">
        <v>46207.0</v>
      </c>
      <c r="F35" s="49">
        <f t="shared" si="3"/>
        <v>46268</v>
      </c>
      <c r="G35" s="50">
        <v>62.0</v>
      </c>
      <c r="H35" s="51">
        <v>0.0</v>
      </c>
      <c r="I35" s="52">
        <f t="shared" si="4"/>
        <v>44</v>
      </c>
      <c r="J35" s="53"/>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54"/>
      <c r="BP35" s="54"/>
      <c r="BQ35" s="54"/>
      <c r="BR35" s="54"/>
      <c r="BS35" s="54"/>
      <c r="BT35" s="54"/>
      <c r="BU35" s="54"/>
      <c r="BV35" s="54"/>
      <c r="BW35" s="54"/>
      <c r="BX35" s="54"/>
      <c r="BY35" s="54"/>
      <c r="BZ35" s="54"/>
      <c r="CA35" s="54"/>
      <c r="CB35" s="54"/>
    </row>
    <row r="36" ht="12.75" customHeight="1">
      <c r="A36" s="68"/>
      <c r="B36" s="69"/>
      <c r="C36" s="69"/>
      <c r="D36" s="70"/>
      <c r="E36" s="71"/>
      <c r="F36" s="72"/>
      <c r="G36" s="73"/>
      <c r="H36" s="73"/>
      <c r="I36" s="70"/>
      <c r="J36" s="53"/>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54"/>
      <c r="BP36" s="54"/>
      <c r="BQ36" s="54"/>
      <c r="BR36" s="54"/>
      <c r="BS36" s="54"/>
      <c r="BT36" s="54"/>
      <c r="BU36" s="54"/>
      <c r="BV36" s="54"/>
      <c r="BW36" s="54"/>
      <c r="BX36" s="54"/>
      <c r="BY36" s="54"/>
      <c r="BZ36" s="54"/>
      <c r="CA36" s="54"/>
      <c r="CB36" s="54"/>
    </row>
    <row r="37" ht="12.75" customHeight="1">
      <c r="A37" s="74"/>
      <c r="B37" s="75"/>
      <c r="C37" s="76"/>
      <c r="D37" s="47"/>
      <c r="E37" s="77"/>
      <c r="F37" s="49"/>
      <c r="G37" s="78"/>
      <c r="H37" s="79"/>
      <c r="I37" s="52"/>
      <c r="J37" s="53"/>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54"/>
      <c r="BP37" s="54"/>
      <c r="BQ37" s="54"/>
      <c r="BR37" s="54"/>
      <c r="BS37" s="54"/>
      <c r="BT37" s="54"/>
      <c r="BU37" s="54"/>
      <c r="BV37" s="54"/>
      <c r="BW37" s="54"/>
      <c r="BX37" s="54"/>
      <c r="BY37" s="54"/>
      <c r="BZ37" s="54"/>
      <c r="CA37" s="54"/>
      <c r="CB37" s="54"/>
    </row>
    <row r="38" ht="12.75" customHeight="1">
      <c r="A38" s="44"/>
      <c r="B38" s="80"/>
      <c r="C38" s="80"/>
      <c r="D38" s="47"/>
      <c r="E38" s="77"/>
      <c r="F38" s="49"/>
      <c r="G38" s="78"/>
      <c r="H38" s="79"/>
      <c r="I38" s="52"/>
      <c r="J38" s="53"/>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54"/>
      <c r="BP38" s="54"/>
      <c r="BQ38" s="54"/>
      <c r="BR38" s="54"/>
      <c r="BS38" s="54"/>
      <c r="BT38" s="54"/>
      <c r="BU38" s="54"/>
      <c r="BV38" s="54"/>
      <c r="BW38" s="54"/>
      <c r="BX38" s="54"/>
      <c r="BY38" s="54"/>
      <c r="BZ38" s="54"/>
      <c r="CA38" s="54"/>
      <c r="CB38" s="54"/>
    </row>
    <row r="39" ht="12.75" customHeight="1">
      <c r="A39" s="44"/>
      <c r="B39" s="81"/>
      <c r="C39" s="80"/>
      <c r="D39" s="82"/>
      <c r="E39" s="83"/>
      <c r="F39" s="84"/>
      <c r="G39" s="85"/>
      <c r="H39" s="86"/>
      <c r="I39" s="87"/>
      <c r="J39" s="88"/>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89"/>
      <c r="BP39" s="89"/>
      <c r="BQ39" s="89"/>
      <c r="BR39" s="89"/>
      <c r="BS39" s="89"/>
      <c r="BT39" s="89"/>
      <c r="BU39" s="89"/>
      <c r="BV39" s="89"/>
      <c r="BW39" s="89"/>
      <c r="BX39" s="89"/>
      <c r="BY39" s="89"/>
      <c r="BZ39" s="89"/>
      <c r="CA39" s="89"/>
      <c r="CB39" s="89"/>
    </row>
    <row r="40" ht="12.75" customHeight="1">
      <c r="A40" s="44"/>
      <c r="B40" s="81"/>
      <c r="C40" s="80"/>
      <c r="D40" s="82"/>
      <c r="E40" s="83"/>
      <c r="F40" s="84"/>
      <c r="G40" s="85"/>
      <c r="H40" s="86"/>
      <c r="I40" s="87"/>
      <c r="J40" s="88"/>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89"/>
      <c r="BP40" s="89"/>
      <c r="BQ40" s="89"/>
      <c r="BR40" s="89"/>
      <c r="BS40" s="89"/>
      <c r="BT40" s="89"/>
      <c r="BU40" s="89"/>
      <c r="BV40" s="89"/>
      <c r="BW40" s="89"/>
      <c r="BX40" s="89"/>
      <c r="BY40" s="89"/>
      <c r="BZ40" s="89"/>
      <c r="CA40" s="89"/>
      <c r="CB40" s="89"/>
    </row>
    <row r="41" ht="12.75" customHeight="1">
      <c r="A41" s="3"/>
      <c r="B41" s="3"/>
      <c r="C41" s="3"/>
      <c r="D41" s="3"/>
      <c r="E41" s="3"/>
      <c r="F41" s="3"/>
      <c r="G41" s="3"/>
      <c r="H41" s="3"/>
      <c r="I41" s="3"/>
      <c r="J41" s="90"/>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91"/>
      <c r="BP41" s="91"/>
      <c r="BQ41" s="91"/>
      <c r="BR41" s="91"/>
      <c r="BS41" s="91"/>
      <c r="BT41" s="91"/>
      <c r="BU41" s="91"/>
      <c r="BV41" s="91"/>
      <c r="BW41" s="91"/>
      <c r="BX41" s="91"/>
      <c r="BY41" s="91"/>
      <c r="BZ41" s="91"/>
      <c r="CA41" s="91"/>
      <c r="CB41" s="91"/>
    </row>
    <row r="42" ht="12.75" customHeight="1">
      <c r="J42" s="90"/>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89"/>
      <c r="BP42" s="89"/>
      <c r="BQ42" s="89"/>
      <c r="BR42" s="89"/>
      <c r="BS42" s="89"/>
      <c r="BT42" s="89"/>
      <c r="BU42" s="89"/>
      <c r="BV42" s="89"/>
      <c r="BW42" s="89"/>
      <c r="BX42" s="89"/>
      <c r="BY42" s="89"/>
      <c r="BZ42" s="89"/>
      <c r="CA42" s="89"/>
      <c r="CB42" s="89"/>
    </row>
    <row r="43" ht="12.75" customHeight="1">
      <c r="J43" s="53"/>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89"/>
      <c r="BP43" s="89"/>
      <c r="BQ43" s="89"/>
      <c r="BR43" s="89"/>
      <c r="BS43" s="89"/>
      <c r="BT43" s="89"/>
      <c r="BU43" s="89"/>
      <c r="BV43" s="89"/>
      <c r="BW43" s="89"/>
      <c r="BX43" s="89"/>
      <c r="BY43" s="89"/>
      <c r="BZ43" s="89"/>
      <c r="CA43" s="89"/>
      <c r="CB43" s="89"/>
    </row>
    <row r="44" ht="12.75" customHeight="1">
      <c r="J44" s="53"/>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89"/>
      <c r="BP44" s="89"/>
      <c r="BQ44" s="89"/>
      <c r="BR44" s="89"/>
      <c r="BS44" s="89"/>
      <c r="BT44" s="89"/>
      <c r="BU44" s="89"/>
      <c r="BV44" s="89"/>
      <c r="BW44" s="89"/>
      <c r="BX44" s="89"/>
      <c r="BY44" s="89"/>
      <c r="BZ44" s="89"/>
      <c r="CA44" s="89"/>
      <c r="CB44" s="89"/>
    </row>
    <row r="45" ht="12.75" customHeight="1">
      <c r="J45" s="53"/>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89"/>
      <c r="BP45" s="89"/>
      <c r="BQ45" s="89"/>
      <c r="BR45" s="89"/>
      <c r="BS45" s="89"/>
      <c r="BT45" s="89"/>
      <c r="BU45" s="89"/>
      <c r="BV45" s="89"/>
      <c r="BW45" s="89"/>
      <c r="BX45" s="89"/>
      <c r="BY45" s="89"/>
      <c r="BZ45" s="89"/>
      <c r="CA45" s="89"/>
      <c r="CB45" s="89"/>
    </row>
    <row r="46" ht="12.75" customHeight="1">
      <c r="J46" s="53"/>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89"/>
      <c r="BP46" s="89"/>
      <c r="BQ46" s="89"/>
      <c r="BR46" s="89"/>
      <c r="BS46" s="89"/>
      <c r="BT46" s="89"/>
      <c r="BU46" s="89"/>
      <c r="BV46" s="89"/>
      <c r="BW46" s="89"/>
      <c r="BX46" s="89"/>
      <c r="BY46" s="89"/>
      <c r="BZ46" s="89"/>
      <c r="CA46" s="89"/>
      <c r="CB46" s="89"/>
    </row>
    <row r="47" ht="12.75" customHeight="1">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row>
    <row r="1001" ht="12.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row>
    <row r="1002" ht="12.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row>
    <row r="1003" ht="12.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row>
  </sheetData>
  <mergeCells count="23">
    <mergeCell ref="AT4:AZ4"/>
    <mergeCell ref="BA4:BG4"/>
    <mergeCell ref="BH4:BN4"/>
    <mergeCell ref="BO4:BU4"/>
    <mergeCell ref="BV4:CB4"/>
    <mergeCell ref="K4:Q4"/>
    <mergeCell ref="K5:Q5"/>
    <mergeCell ref="R5:X5"/>
    <mergeCell ref="Y5:AE5"/>
    <mergeCell ref="AF5:AL5"/>
    <mergeCell ref="AM5:AS5"/>
    <mergeCell ref="AT5:AZ5"/>
    <mergeCell ref="BA5:BG5"/>
    <mergeCell ref="BH5:BN5"/>
    <mergeCell ref="BO5:BU5"/>
    <mergeCell ref="BV5:CB5"/>
    <mergeCell ref="K1:AE1"/>
    <mergeCell ref="C4:E4"/>
    <mergeCell ref="R4:X4"/>
    <mergeCell ref="Y4:AE4"/>
    <mergeCell ref="AF4:AL4"/>
    <mergeCell ref="AM4:AS4"/>
    <mergeCell ref="C5:E5"/>
  </mergeCells>
  <conditionalFormatting sqref="K6:BN7">
    <cfRule type="expression" dxfId="0" priority="1">
      <formula>K$6=TODAY()</formula>
    </cfRule>
  </conditionalFormatting>
  <conditionalFormatting sqref="K8:BN46">
    <cfRule type="expression" dxfId="1" priority="2">
      <formula>AND($E8&lt;=K$6,ROUNDDOWN(($F8-$E8+1)*$H8,0)+$E8-1&gt;=K$6)</formula>
    </cfRule>
  </conditionalFormatting>
  <conditionalFormatting sqref="K8:BN46">
    <cfRule type="expression" dxfId="2" priority="3">
      <formula>AND(NOT(ISBLANK($E8)),$E8&lt;=K$6,$F8&gt;=K$6)</formula>
    </cfRule>
  </conditionalFormatting>
  <conditionalFormatting sqref="K6:BN46">
    <cfRule type="expression" dxfId="3" priority="4">
      <formula>K$6=TODAY()</formula>
    </cfRule>
  </conditionalFormatting>
  <conditionalFormatting sqref="BO6:BU7">
    <cfRule type="expression" dxfId="0" priority="5">
      <formula>BO$6=TODAY()</formula>
    </cfRule>
  </conditionalFormatting>
  <conditionalFormatting sqref="BO6:BU7">
    <cfRule type="expression" dxfId="3" priority="6">
      <formula>BO$6=TODAY()</formula>
    </cfRule>
  </conditionalFormatting>
  <conditionalFormatting sqref="BV6:CB7">
    <cfRule type="expression" dxfId="0" priority="7">
      <formula>BV$6=TODAY()</formula>
    </cfRule>
  </conditionalFormatting>
  <conditionalFormatting sqref="BV6:CB7">
    <cfRule type="expression" dxfId="3" priority="8">
      <formula>BV$6=TODAY()</formula>
    </cfRule>
  </conditionalFormatting>
  <printOptions/>
  <pageMargins bottom="0.5" footer="0.0" header="0.0" left="0.25" right="0.25" top="0.5"/>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2010-06-09T16:05:03Z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